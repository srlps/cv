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arametros" sheetId="2" state="visible" r:id="rId2"/>
    <sheet name="Features" sheetId="3" state="visible" r:id="rId3"/>
    <sheet name="Cotización" sheetId="4" state="visible" r:id="rId4"/>
    <sheet name="Propuesta cliente" sheetId="5" state="visible" r:id="rId5"/>
    <sheet name="Prompt IA" sheetId="6" state="visible" r:id="rId6"/>
  </sheets>
  <definedNames>
    <definedName name="Cat_Nombre">Parametros!$A$5:$A$8</definedName>
    <definedName name="Cat_HMin">Parametros!$C$5:$C$8</definedName>
    <definedName name="Cat_HMax">Parametros!$D$5:$D$8</definedName>
    <definedName name="Cat_TMin">Parametros!$E$5:$E$8</definedName>
    <definedName name="Cat_TMax">Parametros!$F$5:$F$8</definedName>
    <definedName name="Cat_POpus">Parametros!$G$5:$G$8</definedName>
    <definedName name="UsdM_Sonnet">Parametros!$F$13</definedName>
    <definedName name="UsdM_Opus">Parametros!$F$14</definedName>
    <definedName name="TipoCambio">Parametros!$B$20</definedName>
    <definedName name="MonedaCliente">Parametros!$B$21</definedName>
    <definedName name="PerfilSel">Parametros!$B$22</definedName>
    <definedName name="TarifaHora">Parametros!$B$26</definedName>
    <definedName name="HorasDia">Parametros!$B$27</definedName>
    <definedName name="FactorColchon">Parametros!$B$30</definedName>
    <definedName name="Margen">Parametros!$B$31</definedName>
    <definedName name="Perfil_Clave">Parametros!$F$35:$F$54</definedName>
    <definedName name="Perfil_SueldoUSD">Parametros!$E$35:$E$54</definedName>
    <definedName name="Perfil_Lista">OFFSET(Parametros!$F$35,0,0,MAX(1,COUNTIF(Parametros!$F$35:$F$54,"?*")),1)</definedName>
    <definedName name="_xlnm._FilterDatabase" localSheetId="2" hidden="1">'Features'!$A$1:$S$501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0"/>
    <numFmt numFmtId="166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1F3864"/>
      <sz val="12"/>
    </font>
    <font>
      <b val="1"/>
      <color rgb="00FFFFFF"/>
    </font>
    <font>
      <i val="1"/>
      <color rgb="00808080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9" fontId="0" fillId="3" borderId="1" pivotButton="0" quotePrefix="0" xfId="0"/>
    <xf numFmtId="0" fontId="4" fillId="0" borderId="0" pivotButton="0" quotePrefix="0" xfId="0"/>
    <xf numFmtId="164" fontId="0" fillId="4" borderId="1" pivotButton="0" quotePrefix="0" xfId="0"/>
    <xf numFmtId="0" fontId="0" fillId="4" borderId="0" pivotButton="0" quotePrefix="0" xfId="0"/>
    <xf numFmtId="0" fontId="0" fillId="3" borderId="0" pivotButton="0" quotePrefix="0" xfId="0"/>
    <xf numFmtId="165" fontId="0" fillId="3" borderId="1" pivotButton="0" quotePrefix="0" xfId="0"/>
    <xf numFmtId="49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2" fontId="0" fillId="4" borderId="0" pivotButton="0" quotePrefix="0" xfId="0"/>
    <xf numFmtId="3" fontId="0" fillId="4" borderId="0" pivotButton="0" quotePrefix="0" xfId="0"/>
    <xf numFmtId="9" fontId="0" fillId="4" borderId="0" pivotButton="0" quotePrefix="0" xfId="0"/>
    <xf numFmtId="164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2" fontId="5" fillId="5" borderId="1" pivotButton="0" quotePrefix="0" xfId="0"/>
    <xf numFmtId="164" fontId="5" fillId="5" borderId="1" pivotButton="0" quotePrefix="0" xfId="0"/>
    <xf numFmtId="166" fontId="0" fillId="0" borderId="1" pivotButton="0" quotePrefix="0" xfId="0"/>
    <xf numFmtId="4" fontId="0" fillId="0" borderId="1" pivotButton="0" quotePrefix="0" xfId="0"/>
    <xf numFmtId="166" fontId="5" fillId="5" borderId="1" pivotButton="0" quotePrefix="0" xfId="0"/>
    <xf numFmtId="4" fontId="5" fillId="5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C000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Cotizador de proyectos de software (metodología de estimación)</t>
        </is>
      </c>
    </row>
    <row r="2">
      <c r="A2" t="inlineStr"/>
    </row>
    <row r="3">
      <c r="A3" s="2" t="inlineStr">
        <is>
          <t>Uso rápido</t>
        </is>
      </c>
    </row>
    <row r="4">
      <c r="A4" t="inlineStr">
        <is>
          <t>1. Copia el texto de la hoja 'Prompt IA', pégalo en tu LLM y agrega al final el alcance del proyecto.</t>
        </is>
      </c>
    </row>
    <row r="5">
      <c r="A5" t="inlineStr">
        <is>
          <t>2. El LLM devuelve un bloque de texto separado por tabulaciones (Hito, Feature, Categoría, Confirmado), sin encabezado.</t>
        </is>
      </c>
    </row>
    <row r="6">
      <c r="A6" t="inlineStr">
        <is>
          <t>3. Borra los datos de ejemplo de 'Features' (selecciona A2:E501 y pulsa Supr; no elimines filas) y pega en la celda A2.</t>
        </is>
      </c>
    </row>
    <row r="7">
      <c r="A7" t="inlineStr">
        <is>
          <t xml:space="preserve">   Si todo queda en una sola columna: Datos &gt; Texto en columnas &gt; Delimitados &gt; Tabulación.</t>
        </is>
      </c>
    </row>
    <row r="8">
      <c r="A8" t="inlineStr">
        <is>
          <t>4. Revisa la columna 'Estado' en 'Features': todas las filas con datos deben decir OK.</t>
        </is>
      </c>
    </row>
    <row r="9">
      <c r="A9" t="inlineStr">
        <is>
          <t>5. Resultado: 'Cotización' (uso interno, rangos y costos) y 'Propuesta cliente' (solo días comprometidos y precio por hito).</t>
        </is>
      </c>
    </row>
    <row r="10">
      <c r="A10" t="inlineStr"/>
    </row>
    <row r="11">
      <c r="A11" s="2" t="inlineStr">
        <is>
          <t>Qué se puede editar</t>
        </is>
      </c>
    </row>
    <row r="12">
      <c r="A12" t="inlineStr">
        <is>
          <t>• Celdas amarillas = entradas. Celdas grises = fórmulas (no tocar).</t>
        </is>
      </c>
    </row>
    <row r="13">
      <c r="A13" t="inlineStr">
        <is>
          <t>• 'Parametros': horas y tokens por categoría, % de tokens en Opus, precios de Copilot, mezcla de tokens,</t>
        </is>
      </c>
    </row>
    <row r="14">
      <c r="A14" t="inlineStr">
        <is>
          <t xml:space="preserve">  tipo de cambio, moneda de la propuesta (USD/PEN), perfil de sueldo, horas efectivas por día, colchón y margen.</t>
        </is>
      </c>
    </row>
    <row r="15">
      <c r="A15" t="inlineStr">
        <is>
          <t>• Perfil de sueldo: elige un perfil de la tabla '5. Perfiles de sueldo' (perfil + mercado) o 'Custom'.</t>
        </is>
      </c>
    </row>
    <row r="16">
      <c r="A16" t="inlineStr">
        <is>
          <t xml:space="preserve">  Para agregar perfiles, escribe una fila nueva al final de la tabla (Perfil, Mercado, Moneda, Sueldo); aparece sola en el selector.</t>
        </is>
      </c>
    </row>
    <row r="17">
      <c r="A17" t="inlineStr">
        <is>
          <t>• Todo el cálculo interno ('Cotización') es en USD; solo 'Propuesta cliente' se convierte a PEN si así se elige.</t>
        </is>
      </c>
    </row>
    <row r="18">
      <c r="A18" t="inlineStr"/>
    </row>
    <row r="19">
      <c r="A19" s="2" t="inlineStr">
        <is>
          <t>Reglas aplicadas automáticamente</t>
        </is>
      </c>
    </row>
    <row r="20">
      <c r="A20" t="inlineStr">
        <is>
          <t>• Confirmado = 'No' -&gt; la feature se estima con el máximo de su categoría (horas y tokens), tanto en mínimo como en máximo.</t>
        </is>
      </c>
    </row>
    <row r="21">
      <c r="A21" t="inlineStr">
        <is>
          <t>• Días = horas / horas efectivas por día.</t>
        </is>
      </c>
    </row>
    <row r="22">
      <c r="A22" t="inlineStr">
        <is>
          <t>• Días comprometidos por hito = promedio + factor de colchón × (pesimista − promedio). Con factor 0.5 = (promedio + pesimista) / 2.</t>
        </is>
      </c>
    </row>
    <row r="23">
      <c r="A23" t="inlineStr">
        <is>
          <t>• Costo de tiempo comprometido = días comprometidos × horas por día × tarifa por hora.</t>
        </is>
      </c>
    </row>
    <row r="24">
      <c r="A24" t="inlineStr">
        <is>
          <t>• Costo IA = tokens / 1M × tarifa mezclada ((1 − %Opus) × USD/M Sonnet + %Opus × USD/M Opus). Se reporta como rango.</t>
        </is>
      </c>
    </row>
    <row r="25">
      <c r="A25" t="inlineStr">
        <is>
          <t>• Precio sugerido = (costo de tiempo comprometido + costo IA máximo) × (1 + margen).</t>
        </is>
      </c>
    </row>
    <row r="26">
      <c r="A26" t="inlineStr"/>
    </row>
    <row r="27">
      <c r="A27" s="2" t="inlineStr">
        <is>
          <t>Ajustes que se hacen al elegir la categoría (los aplica el LLM según el prompt)</t>
        </is>
      </c>
    </row>
    <row r="28">
      <c r="A28" t="inlineStr">
        <is>
          <t>• Tecnología/integración usada por primera vez en el proyecto -&gt; sube al menos una categoría.</t>
        </is>
      </c>
    </row>
    <row r="29">
      <c r="A29" t="inlineStr">
        <is>
          <t>• Reutiliza un motor ya construido en una feature anterior -&gt; baja al menos una categoría.</t>
        </is>
      </c>
    </row>
    <row r="30">
      <c r="A30" t="inlineStr"/>
    </row>
    <row r="31">
      <c r="A31" t="inlineStr">
        <is>
          <t>Capacidad: 500 features y 50 hitos. El nombre del hito debe repetirse igual en cada feature.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12" customWidth="1" min="3" max="3"/>
    <col width="14" customWidth="1" min="4" max="4"/>
    <col width="20" customWidth="1" min="5" max="5"/>
    <col width="4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Parámetros de la metodología</t>
        </is>
      </c>
    </row>
    <row r="3">
      <c r="A3" s="2" t="inlineStr">
        <is>
          <t>1. Categorías de complejidad</t>
        </is>
      </c>
    </row>
    <row r="4">
      <c r="A4" s="3" t="inlineStr">
        <is>
          <t>Categoría</t>
        </is>
      </c>
      <c r="B4" s="3" t="inlineStr">
        <is>
          <t>Modelo principal</t>
        </is>
      </c>
      <c r="C4" s="3" t="inlineStr">
        <is>
          <t>Horas mín</t>
        </is>
      </c>
      <c r="D4" s="3" t="inlineStr">
        <is>
          <t>Horas máx</t>
        </is>
      </c>
      <c r="E4" s="3" t="inlineStr">
        <is>
          <t>Tokens mín</t>
        </is>
      </c>
      <c r="F4" s="3" t="inlineStr">
        <is>
          <t>Tokens máx</t>
        </is>
      </c>
      <c r="G4" s="3" t="inlineStr">
        <is>
          <t>% tokens en Opus</t>
        </is>
      </c>
      <c r="H4" s="3" t="inlineStr">
        <is>
          <t>Turnos típicos (ref.)</t>
        </is>
      </c>
      <c r="I4" s="3" t="inlineStr">
        <is>
          <t>Tokens/turno (ref.)</t>
        </is>
      </c>
    </row>
    <row r="5">
      <c r="A5" s="4" t="inlineStr">
        <is>
          <t>Simple</t>
        </is>
      </c>
      <c r="B5" s="5" t="inlineStr">
        <is>
          <t>Sonnet</t>
        </is>
      </c>
      <c r="C5" s="5" t="n">
        <v>1</v>
      </c>
      <c r="D5" s="5" t="n">
        <v>1.5</v>
      </c>
      <c r="E5" s="6" t="n">
        <v>80000</v>
      </c>
      <c r="F5" s="6" t="n">
        <v>150000</v>
      </c>
      <c r="G5" s="7" t="n">
        <v>0</v>
      </c>
      <c r="H5" s="4" t="inlineStr">
        <is>
          <t>6–10</t>
        </is>
      </c>
      <c r="I5" s="4" t="inlineStr">
        <is>
          <t>8k–15k</t>
        </is>
      </c>
    </row>
    <row r="6">
      <c r="A6" s="4" t="inlineStr">
        <is>
          <t>Moderado</t>
        </is>
      </c>
      <c r="B6" s="5" t="inlineStr">
        <is>
          <t>Sonnet (revisión puntual en Opus)</t>
        </is>
      </c>
      <c r="C6" s="5" t="n">
        <v>2</v>
      </c>
      <c r="D6" s="5" t="n">
        <v>3</v>
      </c>
      <c r="E6" s="6" t="n">
        <v>150000</v>
      </c>
      <c r="F6" s="6" t="n">
        <v>300000</v>
      </c>
      <c r="G6" s="7" t="n">
        <v>0</v>
      </c>
      <c r="H6" s="4" t="inlineStr">
        <is>
          <t>10–16</t>
        </is>
      </c>
      <c r="I6" s="4" t="inlineStr">
        <is>
          <t>12k–20k</t>
        </is>
      </c>
    </row>
    <row r="7">
      <c r="A7" s="4" t="inlineStr">
        <is>
          <t>Complejo</t>
        </is>
      </c>
      <c r="B7" s="5" t="inlineStr">
        <is>
          <t>Opus (diseño) + Sonnet (detalle)</t>
        </is>
      </c>
      <c r="C7" s="5" t="n">
        <v>4</v>
      </c>
      <c r="D7" s="5" t="n">
        <v>8</v>
      </c>
      <c r="E7" s="6" t="n">
        <v>400000</v>
      </c>
      <c r="F7" s="6" t="n">
        <v>900000</v>
      </c>
      <c r="G7" s="7" t="n">
        <v>0.5</v>
      </c>
      <c r="H7" s="4" t="inlineStr">
        <is>
          <t>16–28</t>
        </is>
      </c>
      <c r="I7" s="4" t="inlineStr">
        <is>
          <t>20k–40k</t>
        </is>
      </c>
    </row>
    <row r="8">
      <c r="A8" s="4" t="inlineStr">
        <is>
          <t>Complejo primera vez</t>
        </is>
      </c>
      <c r="B8" s="5" t="inlineStr">
        <is>
          <t>Opus</t>
        </is>
      </c>
      <c r="C8" s="5" t="n">
        <v>8</v>
      </c>
      <c r="D8" s="5" t="n">
        <v>16</v>
      </c>
      <c r="E8" s="6" t="n">
        <v>600000</v>
      </c>
      <c r="F8" s="6" t="n">
        <v>1200000</v>
      </c>
      <c r="G8" s="7" t="n">
        <v>1</v>
      </c>
      <c r="H8" s="4" t="inlineStr">
        <is>
          <t>20–35</t>
        </is>
      </c>
      <c r="I8" s="4" t="inlineStr">
        <is>
          <t>25k–45k</t>
        </is>
      </c>
    </row>
    <row r="9">
      <c r="A9" s="8" t="inlineStr">
        <is>
          <t>Horas de Complejo / Complejo primera vez = días × 4 h (1–2 días y 2–4 días de la metodología).</t>
        </is>
      </c>
    </row>
    <row r="11">
      <c r="A11" s="2" t="inlineStr">
        <is>
          <t>2. Precios GitHub Copilot (créditos por millón de tokens)</t>
        </is>
      </c>
    </row>
    <row r="12">
      <c r="A12" s="3" t="inlineStr">
        <is>
          <t>Modelo</t>
        </is>
      </c>
      <c r="B12" s="3" t="inlineStr">
        <is>
          <t>Input</t>
        </is>
      </c>
      <c r="C12" s="3" t="inlineStr">
        <is>
          <t>Output</t>
        </is>
      </c>
      <c r="D12" s="3" t="inlineStr">
        <is>
          <t>Cache read</t>
        </is>
      </c>
      <c r="E12" s="3" t="inlineStr">
        <is>
          <t>Cache write</t>
        </is>
      </c>
      <c r="F12" s="3" t="inlineStr">
        <is>
          <t>USD / M tokens (mezcla)</t>
        </is>
      </c>
    </row>
    <row r="13">
      <c r="A13" s="4" t="inlineStr">
        <is>
          <t>Sonnet</t>
        </is>
      </c>
      <c r="B13" s="5" t="n">
        <v>200</v>
      </c>
      <c r="C13" s="5" t="n">
        <v>1000</v>
      </c>
      <c r="D13" s="5" t="n">
        <v>20</v>
      </c>
      <c r="E13" s="5" t="n">
        <v>250</v>
      </c>
      <c r="F13" s="9">
        <f>SUMPRODUCT(B13:E13,$B$15:$E$15)/$B$17</f>
        <v/>
      </c>
    </row>
    <row r="14">
      <c r="A14" s="4" t="inlineStr">
        <is>
          <t>Opus</t>
        </is>
      </c>
      <c r="B14" s="5" t="n">
        <v>500</v>
      </c>
      <c r="C14" s="5" t="n">
        <v>2500</v>
      </c>
      <c r="D14" s="5" t="n">
        <v>50</v>
      </c>
      <c r="E14" s="5" t="n">
        <v>625</v>
      </c>
      <c r="F14" s="9">
        <f>SUMPRODUCT(B14:E14,$B$15:$E$15)/$B$17</f>
        <v/>
      </c>
    </row>
    <row r="15">
      <c r="A15" t="inlineStr">
        <is>
          <t>Mezcla de tokens (% del total)</t>
        </is>
      </c>
      <c r="B15" s="7" t="n">
        <v>0.15</v>
      </c>
      <c r="C15" s="7" t="n">
        <v>0.15</v>
      </c>
      <c r="D15" s="7" t="n">
        <v>0.55</v>
      </c>
      <c r="E15" s="7" t="n">
        <v>0.15</v>
      </c>
      <c r="F15" s="10">
        <f>IF(ROUND(SUM(B15:E15),4)=1,"OK (100%)","⚠ Debe sumar 100%")</f>
        <v/>
      </c>
    </row>
    <row r="17">
      <c r="A17" t="inlineStr">
        <is>
          <t>Créditos por USD</t>
        </is>
      </c>
      <c r="B17" s="11" t="n">
        <v>100</v>
      </c>
    </row>
    <row r="19">
      <c r="A19" s="2" t="inlineStr">
        <is>
          <t>3. Desarrollador y moneda</t>
        </is>
      </c>
    </row>
    <row r="20">
      <c r="A20" t="inlineStr">
        <is>
          <t>Tipo de cambio (PEN por 1 USD)</t>
        </is>
      </c>
      <c r="B20" s="12" t="n">
        <v>3.7</v>
      </c>
      <c r="C20" s="8" t="inlineStr">
        <is>
          <t>Actualizar al tipo de cambio del día.</t>
        </is>
      </c>
    </row>
    <row r="21">
      <c r="A21" t="inlineStr">
        <is>
          <t>Moneda de la propuesta al cliente</t>
        </is>
      </c>
      <c r="B21" s="13" t="inlineStr">
        <is>
          <t>USD</t>
        </is>
      </c>
      <c r="C21" s="8" t="inlineStr">
        <is>
          <t>USD o PEN. Solo afecta la hoja 'Propuesta cliente'.</t>
        </is>
      </c>
    </row>
    <row r="22">
      <c r="A22" t="inlineStr">
        <is>
          <t>Perfil de sueldo</t>
        </is>
      </c>
      <c r="B22" s="13" t="inlineStr">
        <is>
          <t>Backend senior / arquitecto | Internacional</t>
        </is>
      </c>
      <c r="C22" s="8" t="inlineStr">
        <is>
          <t>Elegir de la tabla '5. Perfiles de sueldo' (o 'Custom').</t>
        </is>
      </c>
    </row>
    <row r="23">
      <c r="A23" t="inlineStr">
        <is>
          <t>Sueldo mensual seleccionado (USD)</t>
        </is>
      </c>
      <c r="B23" s="9">
        <f>IFERROR(INDEX(Perfil_SueldoUSD,MATCH(PerfilSel,Perfil_Clave,0)),"⚠ Perfil no encontrado")</f>
        <v/>
      </c>
      <c r="C23" s="8" t="inlineStr">
        <is>
          <t>Calculado desde el perfil (convertido a USD si está en PEN).</t>
        </is>
      </c>
    </row>
    <row r="24">
      <c r="A24" t="inlineStr">
        <is>
          <t>Días laborables por mes</t>
        </is>
      </c>
      <c r="B24" s="6" t="n">
        <v>20</v>
      </c>
      <c r="C24" s="8" t="inlineStr"/>
    </row>
    <row r="25">
      <c r="A25" t="inlineStr">
        <is>
          <t>Horas de jornada completa</t>
        </is>
      </c>
      <c r="B25" s="6" t="n">
        <v>8</v>
      </c>
      <c r="C25" s="8" t="inlineStr">
        <is>
          <t>Jornada con la que se calcula el sueldo (no la del proyecto).</t>
        </is>
      </c>
    </row>
    <row r="26">
      <c r="A26" t="inlineStr">
        <is>
          <t>Tarifa por hora (USD)</t>
        </is>
      </c>
      <c r="B26" s="9">
        <f>B23/(B24*B25)</f>
        <v/>
      </c>
      <c r="C26" s="8" t="inlineStr">
        <is>
          <t>Calculado.</t>
        </is>
      </c>
    </row>
    <row r="27">
      <c r="A27" t="inlineStr">
        <is>
          <t>Horas efectivas por día dedicadas al proyecto</t>
        </is>
      </c>
      <c r="B27" s="6" t="n">
        <v>4</v>
      </c>
      <c r="C27" s="8" t="inlineStr">
        <is>
          <t>Restricción de agenda; convierte horas en días.</t>
        </is>
      </c>
    </row>
    <row r="29">
      <c r="A29" s="2" t="inlineStr">
        <is>
          <t>4. Compromiso y precio</t>
        </is>
      </c>
    </row>
    <row r="30">
      <c r="A30" t="inlineStr">
        <is>
          <t>Factor de colchón por hito (0–1)</t>
        </is>
      </c>
      <c r="B30" s="5" t="n">
        <v>0.5</v>
      </c>
      <c r="C30" s="8" t="inlineStr">
        <is>
          <t>Días comprometidos = promedio + factor × (pesimista − promedio). Subir si sueles pasarte, bajar si terminas antes.</t>
        </is>
      </c>
    </row>
    <row r="31">
      <c r="A31" t="inlineStr">
        <is>
          <t>Margen adicional sobre precio</t>
        </is>
      </c>
      <c r="B31" s="7" t="n">
        <v>0</v>
      </c>
      <c r="C31" s="8" t="inlineStr">
        <is>
          <t>Precio sugerido = (costo tiempo comprometido + costo IA máx.) × (1 + margen).</t>
        </is>
      </c>
    </row>
    <row r="33">
      <c r="A33" s="2" t="inlineStr">
        <is>
          <t>5. Perfiles de sueldo (agregar filas nuevas debajo, sin dejar filas vacías en medio)</t>
        </is>
      </c>
    </row>
    <row r="34">
      <c r="A34" s="3" t="inlineStr">
        <is>
          <t>Perfil</t>
        </is>
      </c>
      <c r="B34" s="3" t="inlineStr">
        <is>
          <t>Mercado</t>
        </is>
      </c>
      <c r="C34" s="3" t="inlineStr">
        <is>
          <t>Moneda</t>
        </is>
      </c>
      <c r="D34" s="3" t="inlineStr">
        <is>
          <t>Sueldo mensual</t>
        </is>
      </c>
      <c r="E34" s="3" t="inlineStr">
        <is>
          <t>Sueldo mensual (USD)</t>
        </is>
      </c>
      <c r="F34" s="3" t="inlineStr">
        <is>
          <t>Nombre en el selector</t>
        </is>
      </c>
    </row>
    <row r="35">
      <c r="A35" s="5" t="inlineStr">
        <is>
          <t>Backend senior / arquitecto</t>
        </is>
      </c>
      <c r="B35" s="5" t="inlineStr">
        <is>
          <t>Internacional</t>
        </is>
      </c>
      <c r="C35" s="5" t="inlineStr">
        <is>
          <t>USD</t>
        </is>
      </c>
      <c r="D35" s="14" t="n">
        <v>7000</v>
      </c>
      <c r="E35" s="9">
        <f>IF(D35="","",IF(C35="PEN",D35/TipoCambio,D35))</f>
        <v/>
      </c>
      <c r="F35" s="15">
        <f>IF(A35="","",IF(B35="",A35,A35&amp;" | "&amp;B35))</f>
        <v/>
      </c>
    </row>
    <row r="36">
      <c r="A36" s="5" t="inlineStr">
        <is>
          <t>Backend senior / arquitecto</t>
        </is>
      </c>
      <c r="B36" s="5" t="inlineStr">
        <is>
          <t>Perú</t>
        </is>
      </c>
      <c r="C36" s="5" t="inlineStr">
        <is>
          <t>PEN</t>
        </is>
      </c>
      <c r="D36" s="14" t="n">
        <v>15000</v>
      </c>
      <c r="E36" s="9">
        <f>IF(D36="","",IF(C36="PEN",D36/TipoCambio,D36))</f>
        <v/>
      </c>
      <c r="F36" s="15">
        <f>IF(A36="","",IF(B36="",A36,A36&amp;" | "&amp;B36))</f>
        <v/>
      </c>
    </row>
    <row r="37">
      <c r="A37" s="5" t="inlineStr">
        <is>
          <t>Fullstack</t>
        </is>
      </c>
      <c r="B37" s="5" t="inlineStr">
        <is>
          <t>Internacional</t>
        </is>
      </c>
      <c r="C37" s="5" t="inlineStr">
        <is>
          <t>USD</t>
        </is>
      </c>
      <c r="D37" s="14" t="n">
        <v>5000</v>
      </c>
      <c r="E37" s="9">
        <f>IF(D37="","",IF(C37="PEN",D37/TipoCambio,D37))</f>
        <v/>
      </c>
      <c r="F37" s="15">
        <f>IF(A37="","",IF(B37="",A37,A37&amp;" | "&amp;B37))</f>
        <v/>
      </c>
    </row>
    <row r="38">
      <c r="A38" s="5" t="inlineStr">
        <is>
          <t>Fullstack</t>
        </is>
      </c>
      <c r="B38" s="5" t="inlineStr">
        <is>
          <t>Perú</t>
        </is>
      </c>
      <c r="C38" s="5" t="inlineStr">
        <is>
          <t>PEN</t>
        </is>
      </c>
      <c r="D38" s="14" t="n">
        <v>10000</v>
      </c>
      <c r="E38" s="9">
        <f>IF(D38="","",IF(C38="PEN",D38/TipoCambio,D38))</f>
        <v/>
      </c>
      <c r="F38" s="15">
        <f>IF(A38="","",IF(B38="",A38,A38&amp;" | "&amp;B38))</f>
        <v/>
      </c>
    </row>
    <row r="39">
      <c r="A39" s="5" t="inlineStr">
        <is>
          <t>Landing page</t>
        </is>
      </c>
      <c r="B39" s="5" t="inlineStr">
        <is>
          <t>Internacional</t>
        </is>
      </c>
      <c r="C39" s="5" t="inlineStr">
        <is>
          <t>USD</t>
        </is>
      </c>
      <c r="D39" s="14" t="n">
        <v>3000</v>
      </c>
      <c r="E39" s="9">
        <f>IF(D39="","",IF(C39="PEN",D39/TipoCambio,D39))</f>
        <v/>
      </c>
      <c r="F39" s="15">
        <f>IF(A39="","",IF(B39="",A39,A39&amp;" | "&amp;B39))</f>
        <v/>
      </c>
    </row>
    <row r="40">
      <c r="A40" s="5" t="inlineStr">
        <is>
          <t>Landing page</t>
        </is>
      </c>
      <c r="B40" s="5" t="inlineStr">
        <is>
          <t>Perú</t>
        </is>
      </c>
      <c r="C40" s="5" t="inlineStr">
        <is>
          <t>PEN</t>
        </is>
      </c>
      <c r="D40" s="14" t="n">
        <v>5000</v>
      </c>
      <c r="E40" s="9">
        <f>IF(D40="","",IF(C40="PEN",D40/TipoCambio,D40))</f>
        <v/>
      </c>
      <c r="F40" s="15">
        <f>IF(A40="","",IF(B40="",A40,A40&amp;" | "&amp;B40))</f>
        <v/>
      </c>
    </row>
    <row r="41">
      <c r="A41" s="5" t="inlineStr">
        <is>
          <t>Consultor</t>
        </is>
      </c>
      <c r="B41" s="5" t="inlineStr">
        <is>
          <t>Internacional</t>
        </is>
      </c>
      <c r="C41" s="5" t="inlineStr">
        <is>
          <t>USD</t>
        </is>
      </c>
      <c r="D41" s="14" t="n">
        <v>9000</v>
      </c>
      <c r="E41" s="9">
        <f>IF(D41="","",IF(C41="PEN",D41/TipoCambio,D41))</f>
        <v/>
      </c>
      <c r="F41" s="15">
        <f>IF(A41="","",IF(B41="",A41,A41&amp;" | "&amp;B41))</f>
        <v/>
      </c>
    </row>
    <row r="42">
      <c r="A42" s="5" t="inlineStr">
        <is>
          <t>Consultor</t>
        </is>
      </c>
      <c r="B42" s="5" t="inlineStr">
        <is>
          <t>Perú</t>
        </is>
      </c>
      <c r="C42" s="5" t="inlineStr">
        <is>
          <t>PEN</t>
        </is>
      </c>
      <c r="D42" s="14" t="n">
        <v>20000</v>
      </c>
      <c r="E42" s="9">
        <f>IF(D42="","",IF(C42="PEN",D42/TipoCambio,D42))</f>
        <v/>
      </c>
      <c r="F42" s="15">
        <f>IF(A42="","",IF(B42="",A42,A42&amp;" | "&amp;B42))</f>
        <v/>
      </c>
    </row>
    <row r="43">
      <c r="A43" s="5" t="inlineStr">
        <is>
          <t>Custom</t>
        </is>
      </c>
      <c r="B43" s="5" t="n"/>
      <c r="C43" s="5" t="inlineStr">
        <is>
          <t>USD</t>
        </is>
      </c>
      <c r="D43" s="14" t="n">
        <v>7000</v>
      </c>
      <c r="E43" s="9">
        <f>IF(D43="","",IF(C43="PEN",D43/TipoCambio,D43))</f>
        <v/>
      </c>
      <c r="F43" s="15">
        <f>IF(A43="","",IF(B43="",A43,A43&amp;" | "&amp;B43))</f>
        <v/>
      </c>
    </row>
    <row r="44">
      <c r="A44" s="5" t="n"/>
      <c r="B44" s="5" t="n"/>
      <c r="C44" s="5" t="n"/>
      <c r="D44" s="14" t="n"/>
      <c r="E44" s="9">
        <f>IF(D44="","",IF(C44="PEN",D44/TipoCambio,D44))</f>
        <v/>
      </c>
      <c r="F44" s="15">
        <f>IF(A44="","",IF(B44="",A44,A44&amp;" | "&amp;B44))</f>
        <v/>
      </c>
    </row>
    <row r="45">
      <c r="A45" s="5" t="n"/>
      <c r="B45" s="5" t="n"/>
      <c r="C45" s="5" t="n"/>
      <c r="D45" s="14" t="n"/>
      <c r="E45" s="9">
        <f>IF(D45="","",IF(C45="PEN",D45/TipoCambio,D45))</f>
        <v/>
      </c>
      <c r="F45" s="15">
        <f>IF(A45="","",IF(B45="",A45,A45&amp;" | "&amp;B45))</f>
        <v/>
      </c>
    </row>
    <row r="46">
      <c r="A46" s="5" t="n"/>
      <c r="B46" s="5" t="n"/>
      <c r="C46" s="5" t="n"/>
      <c r="D46" s="14" t="n"/>
      <c r="E46" s="9">
        <f>IF(D46="","",IF(C46="PEN",D46/TipoCambio,D46))</f>
        <v/>
      </c>
      <c r="F46" s="15">
        <f>IF(A46="","",IF(B46="",A46,A46&amp;" | "&amp;B46))</f>
        <v/>
      </c>
    </row>
    <row r="47">
      <c r="A47" s="5" t="n"/>
      <c r="B47" s="5" t="n"/>
      <c r="C47" s="5" t="n"/>
      <c r="D47" s="14" t="n"/>
      <c r="E47" s="9">
        <f>IF(D47="","",IF(C47="PEN",D47/TipoCambio,D47))</f>
        <v/>
      </c>
      <c r="F47" s="15">
        <f>IF(A47="","",IF(B47="",A47,A47&amp;" | "&amp;B47))</f>
        <v/>
      </c>
    </row>
    <row r="48">
      <c r="A48" s="5" t="n"/>
      <c r="B48" s="5" t="n"/>
      <c r="C48" s="5" t="n"/>
      <c r="D48" s="14" t="n"/>
      <c r="E48" s="9">
        <f>IF(D48="","",IF(C48="PEN",D48/TipoCambio,D48))</f>
        <v/>
      </c>
      <c r="F48" s="15">
        <f>IF(A48="","",IF(B48="",A48,A48&amp;" | "&amp;B48))</f>
        <v/>
      </c>
    </row>
    <row r="49">
      <c r="A49" s="5" t="n"/>
      <c r="B49" s="5" t="n"/>
      <c r="C49" s="5" t="n"/>
      <c r="D49" s="14" t="n"/>
      <c r="E49" s="9">
        <f>IF(D49="","",IF(C49="PEN",D49/TipoCambio,D49))</f>
        <v/>
      </c>
      <c r="F49" s="15">
        <f>IF(A49="","",IF(B49="",A49,A49&amp;" | "&amp;B49))</f>
        <v/>
      </c>
    </row>
    <row r="50">
      <c r="A50" s="5" t="n"/>
      <c r="B50" s="5" t="n"/>
      <c r="C50" s="5" t="n"/>
      <c r="D50" s="14" t="n"/>
      <c r="E50" s="9">
        <f>IF(D50="","",IF(C50="PEN",D50/TipoCambio,D50))</f>
        <v/>
      </c>
      <c r="F50" s="15">
        <f>IF(A50="","",IF(B50="",A50,A50&amp;" | "&amp;B50))</f>
        <v/>
      </c>
    </row>
    <row r="51">
      <c r="A51" s="5" t="n"/>
      <c r="B51" s="5" t="n"/>
      <c r="C51" s="5" t="n"/>
      <c r="D51" s="14" t="n"/>
      <c r="E51" s="9">
        <f>IF(D51="","",IF(C51="PEN",D51/TipoCambio,D51))</f>
        <v/>
      </c>
      <c r="F51" s="15">
        <f>IF(A51="","",IF(B51="",A51,A51&amp;" | "&amp;B51))</f>
        <v/>
      </c>
    </row>
    <row r="52">
      <c r="A52" s="5" t="n"/>
      <c r="B52" s="5" t="n"/>
      <c r="C52" s="5" t="n"/>
      <c r="D52" s="14" t="n"/>
      <c r="E52" s="9">
        <f>IF(D52="","",IF(C52="PEN",D52/TipoCambio,D52))</f>
        <v/>
      </c>
      <c r="F52" s="15">
        <f>IF(A52="","",IF(B52="",A52,A52&amp;" | "&amp;B52))</f>
        <v/>
      </c>
    </row>
    <row r="53">
      <c r="A53" s="5" t="n"/>
      <c r="B53" s="5" t="n"/>
      <c r="C53" s="5" t="n"/>
      <c r="D53" s="14" t="n"/>
      <c r="E53" s="9">
        <f>IF(D53="","",IF(C53="PEN",D53/TipoCambio,D53))</f>
        <v/>
      </c>
      <c r="F53" s="15">
        <f>IF(A53="","",IF(B53="",A53,A53&amp;" | "&amp;B53))</f>
        <v/>
      </c>
    </row>
    <row r="54">
      <c r="A54" s="5" t="n"/>
      <c r="B54" s="5" t="n"/>
      <c r="C54" s="5" t="n"/>
      <c r="D54" s="14" t="n"/>
      <c r="E54" s="9">
        <f>IF(D54="","",IF(C54="PEN",D54/TipoCambio,D54))</f>
        <v/>
      </c>
      <c r="F54" s="15">
        <f>IF(A54="","",IF(B54="",A54,A54&amp;" | "&amp;B54))</f>
        <v/>
      </c>
    </row>
    <row r="55">
      <c r="A55" s="8" t="inlineStr">
        <is>
          <t>Montos de ejemplo: reemplazar por tus sueldos de referencia reales. Moneda PEN se convierte a USD con el tipo de cambio.</t>
        </is>
      </c>
    </row>
  </sheetData>
  <dataValidations count="2">
    <dataValidation sqref="B22" showDropDown="0" showInputMessage="0" showErrorMessage="0" allowBlank="0" type="list">
      <formula1>=Perfil_Lista</formula1>
    </dataValidation>
    <dataValidation sqref="B21 C35:C54" showDropDown="0" showInputMessage="0" showErrorMessage="0" allowBlank="0" type="list">
      <formula1>"USD,PEN"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4" customWidth="1" min="2" max="2"/>
    <col width="22" customWidth="1" min="3" max="3"/>
    <col width="12" customWidth="1" min="4" max="4"/>
    <col width="24" customWidth="1" min="5" max="5"/>
    <col width="20" customWidth="1" min="6" max="6"/>
    <col width="10" customWidth="1" min="7" max="7"/>
    <col width="10" customWidth="1" min="8" max="8"/>
    <col width="10" customWidth="1" min="9" max="9"/>
    <col width="9" customWidth="1" min="10" max="10"/>
    <col width="9" customWidth="1" min="11" max="11"/>
    <col width="9" customWidth="1" min="12" max="12"/>
    <col width="12" customWidth="1" min="13" max="13"/>
    <col width="12" customWidth="1" min="14" max="14"/>
    <col width="8" customWidth="1" min="15" max="15"/>
    <col width="12" customWidth="1" min="16" max="16"/>
    <col width="12" customWidth="1" min="17" max="17"/>
    <col width="14" customWidth="1" min="18" max="18"/>
    <col width="14" customWidth="1" min="19" max="19"/>
    <col hidden="1" width="13" customWidth="1" min="20" max="20"/>
  </cols>
  <sheetData>
    <row r="1" ht="32" customHeight="1">
      <c r="A1" s="3" t="inlineStr">
        <is>
          <t>Hito</t>
        </is>
      </c>
      <c r="B1" s="3" t="inlineStr">
        <is>
          <t>Feature</t>
        </is>
      </c>
      <c r="C1" s="3" t="inlineStr">
        <is>
          <t>Categoría</t>
        </is>
      </c>
      <c r="D1" s="3" t="inlineStr">
        <is>
          <t>Confirmado (Sí/No)</t>
        </is>
      </c>
      <c r="E1" s="3" t="inlineStr">
        <is>
          <t>Notas (opcional)</t>
        </is>
      </c>
      <c r="F1" s="3" t="inlineStr">
        <is>
          <t>Estado</t>
        </is>
      </c>
      <c r="G1" s="3" t="inlineStr">
        <is>
          <t>Horas mín</t>
        </is>
      </c>
      <c r="H1" s="3" t="inlineStr">
        <is>
          <t>Horas máx</t>
        </is>
      </c>
      <c r="I1" s="3" t="inlineStr">
        <is>
          <t>Horas prom.</t>
        </is>
      </c>
      <c r="J1" s="3" t="inlineStr">
        <is>
          <t>Días mín</t>
        </is>
      </c>
      <c r="K1" s="3" t="inlineStr">
        <is>
          <t>Días prom.</t>
        </is>
      </c>
      <c r="L1" s="3" t="inlineStr">
        <is>
          <t>Días máx</t>
        </is>
      </c>
      <c r="M1" s="3" t="inlineStr">
        <is>
          <t>Tokens mín</t>
        </is>
      </c>
      <c r="N1" s="3" t="inlineStr">
        <is>
          <t>Tokens máx</t>
        </is>
      </c>
      <c r="O1" s="3" t="inlineStr">
        <is>
          <t>% Opus</t>
        </is>
      </c>
      <c r="P1" s="3" t="inlineStr">
        <is>
          <t>Costo IA mín</t>
        </is>
      </c>
      <c r="Q1" s="3" t="inlineStr">
        <is>
          <t>Costo IA máx</t>
        </is>
      </c>
      <c r="R1" s="3" t="inlineStr">
        <is>
          <t>Costo tiempo mín</t>
        </is>
      </c>
      <c r="S1" s="3" t="inlineStr">
        <is>
          <t>Costo tiempo máx</t>
        </is>
      </c>
      <c r="T1" s="3" t="inlineStr">
        <is>
          <t>idx hito</t>
        </is>
      </c>
    </row>
    <row r="2">
      <c r="A2" s="11" t="inlineStr">
        <is>
          <t>Hito 0 - Configuración inicial</t>
        </is>
      </c>
      <c r="B2" s="11" t="inlineStr">
        <is>
          <t>Scaffold del proyecto y repositorio</t>
        </is>
      </c>
      <c r="C2" s="11" t="inlineStr">
        <is>
          <t>Complejo primera vez</t>
        </is>
      </c>
      <c r="D2" s="11" t="inlineStr">
        <is>
          <t>Sí</t>
        </is>
      </c>
      <c r="E2" s="11" t="n"/>
      <c r="F2" s="10">
        <f>IF(AND($A2="",$B2="",$C2=""),"",IF($A2="","⚠ Falta hito",IF(ISNA(MATCH($C2,Cat_Nombre,0)),"⚠ Categoría inválida","OK")))</f>
        <v/>
      </c>
      <c r="G2" s="16">
        <f>IF($F2&lt;&gt;"OK","",IF(UPPER(TRIM($D2))="NO",INDEX(Cat_HMax,MATCH($C2,Cat_Nombre,0)),INDEX(Cat_HMin,MATCH($C2,Cat_Nombre,0))))</f>
        <v/>
      </c>
      <c r="H2" s="16">
        <f>IF($F2&lt;&gt;"OK","",INDEX(Cat_HMax,MATCH($C2,Cat_Nombre,0)))</f>
        <v/>
      </c>
      <c r="I2" s="16">
        <f>IF($F2&lt;&gt;"OK","",(G2+H2)/2)</f>
        <v/>
      </c>
      <c r="J2" s="16">
        <f>IF($F2&lt;&gt;"OK","",G2/HorasDia)</f>
        <v/>
      </c>
      <c r="K2" s="16">
        <f>IF($F2&lt;&gt;"OK","",I2/HorasDia)</f>
        <v/>
      </c>
      <c r="L2" s="16">
        <f>IF($F2&lt;&gt;"OK","",H2/HorasDia)</f>
        <v/>
      </c>
      <c r="M2" s="17">
        <f>IF($F2&lt;&gt;"OK","",IF(UPPER(TRIM($D2))="NO",INDEX(Cat_TMax,MATCH($C2,Cat_Nombre,0)),INDEX(Cat_TMin,MATCH($C2,Cat_Nombre,0))))</f>
        <v/>
      </c>
      <c r="N2" s="17">
        <f>IF($F2&lt;&gt;"OK","",INDEX(Cat_TMax,MATCH($C2,Cat_Nombre,0)))</f>
        <v/>
      </c>
      <c r="O2" s="18">
        <f>IF($F2&lt;&gt;"OK","",INDEX(Cat_POpus,MATCH($C2,Cat_Nombre,0)))</f>
        <v/>
      </c>
      <c r="P2" s="19">
        <f>IF($F2&lt;&gt;"OK","",M2/1000000*((1-O2)*UsdM_Sonnet+O2*UsdM_Opus))</f>
        <v/>
      </c>
      <c r="Q2" s="19">
        <f>IF($F2&lt;&gt;"OK","",N2/1000000*((1-O2)*UsdM_Sonnet+O2*UsdM_Opus))</f>
        <v/>
      </c>
      <c r="R2" s="19">
        <f>IF($F2&lt;&gt;"OK","",G2*TarifaHora)</f>
        <v/>
      </c>
      <c r="S2" s="19">
        <f>IF($F2&lt;&gt;"OK","",H2*TarifaHora)</f>
        <v/>
      </c>
      <c r="T2" s="10">
        <f>IF($F2&lt;&gt;"OK","",IF(COUNTIFS($A$2:$A2,$A2,$F$2:$F2,"OK")=1,MAX($T$1:$T1)+1,""))</f>
        <v/>
      </c>
    </row>
    <row r="3">
      <c r="A3" s="11" t="inlineStr">
        <is>
          <t>Hito 0 - Configuración inicial</t>
        </is>
      </c>
      <c r="B3" s="11" t="inlineStr">
        <is>
          <t>Autenticación de usuarios</t>
        </is>
      </c>
      <c r="C3" s="11" t="inlineStr">
        <is>
          <t>Complejo primera vez</t>
        </is>
      </c>
      <c r="D3" s="11" t="inlineStr">
        <is>
          <t>Sí</t>
        </is>
      </c>
      <c r="E3" s="11" t="n"/>
      <c r="F3" s="10">
        <f>IF(AND($A3="",$B3="",$C3=""),"",IF($A3="","⚠ Falta hito",IF(ISNA(MATCH($C3,Cat_Nombre,0)),"⚠ Categoría inválida","OK")))</f>
        <v/>
      </c>
      <c r="G3" s="16">
        <f>IF($F3&lt;&gt;"OK","",IF(UPPER(TRIM($D3))="NO",INDEX(Cat_HMax,MATCH($C3,Cat_Nombre,0)),INDEX(Cat_HMin,MATCH($C3,Cat_Nombre,0))))</f>
        <v/>
      </c>
      <c r="H3" s="16">
        <f>IF($F3&lt;&gt;"OK","",INDEX(Cat_HMax,MATCH($C3,Cat_Nombre,0)))</f>
        <v/>
      </c>
      <c r="I3" s="16">
        <f>IF($F3&lt;&gt;"OK","",(G3+H3)/2)</f>
        <v/>
      </c>
      <c r="J3" s="16">
        <f>IF($F3&lt;&gt;"OK","",G3/HorasDia)</f>
        <v/>
      </c>
      <c r="K3" s="16">
        <f>IF($F3&lt;&gt;"OK","",I3/HorasDia)</f>
        <v/>
      </c>
      <c r="L3" s="16">
        <f>IF($F3&lt;&gt;"OK","",H3/HorasDia)</f>
        <v/>
      </c>
      <c r="M3" s="17">
        <f>IF($F3&lt;&gt;"OK","",IF(UPPER(TRIM($D3))="NO",INDEX(Cat_TMax,MATCH($C3,Cat_Nombre,0)),INDEX(Cat_TMin,MATCH($C3,Cat_Nombre,0))))</f>
        <v/>
      </c>
      <c r="N3" s="17">
        <f>IF($F3&lt;&gt;"OK","",INDEX(Cat_TMax,MATCH($C3,Cat_Nombre,0)))</f>
        <v/>
      </c>
      <c r="O3" s="18">
        <f>IF($F3&lt;&gt;"OK","",INDEX(Cat_POpus,MATCH($C3,Cat_Nombre,0)))</f>
        <v/>
      </c>
      <c r="P3" s="19">
        <f>IF($F3&lt;&gt;"OK","",M3/1000000*((1-O3)*UsdM_Sonnet+O3*UsdM_Opus))</f>
        <v/>
      </c>
      <c r="Q3" s="19">
        <f>IF($F3&lt;&gt;"OK","",N3/1000000*((1-O3)*UsdM_Sonnet+O3*UsdM_Opus))</f>
        <v/>
      </c>
      <c r="R3" s="19">
        <f>IF($F3&lt;&gt;"OK","",G3*TarifaHora)</f>
        <v/>
      </c>
      <c r="S3" s="19">
        <f>IF($F3&lt;&gt;"OK","",H3*TarifaHora)</f>
        <v/>
      </c>
      <c r="T3" s="10">
        <f>IF($F3&lt;&gt;"OK","",IF(COUNTIFS($A$2:$A3,$A3,$F$2:$F3,"OK")=1,MAX($T$1:$T2)+1,""))</f>
        <v/>
      </c>
    </row>
    <row r="4">
      <c r="A4" s="11" t="inlineStr">
        <is>
          <t>Hito 0 - Configuración inicial</t>
        </is>
      </c>
      <c r="B4" s="11" t="inlineStr">
        <is>
          <t>Despliegue en hosting con CI/CD</t>
        </is>
      </c>
      <c r="C4" s="11" t="inlineStr">
        <is>
          <t>Complejo primera vez</t>
        </is>
      </c>
      <c r="D4" s="11" t="inlineStr">
        <is>
          <t>Sí</t>
        </is>
      </c>
      <c r="E4" s="11" t="n"/>
      <c r="F4" s="10">
        <f>IF(AND($A4="",$B4="",$C4=""),"",IF($A4="","⚠ Falta hito",IF(ISNA(MATCH($C4,Cat_Nombre,0)),"⚠ Categoría inválida","OK")))</f>
        <v/>
      </c>
      <c r="G4" s="16">
        <f>IF($F4&lt;&gt;"OK","",IF(UPPER(TRIM($D4))="NO",INDEX(Cat_HMax,MATCH($C4,Cat_Nombre,0)),INDEX(Cat_HMin,MATCH($C4,Cat_Nombre,0))))</f>
        <v/>
      </c>
      <c r="H4" s="16">
        <f>IF($F4&lt;&gt;"OK","",INDEX(Cat_HMax,MATCH($C4,Cat_Nombre,0)))</f>
        <v/>
      </c>
      <c r="I4" s="16">
        <f>IF($F4&lt;&gt;"OK","",(G4+H4)/2)</f>
        <v/>
      </c>
      <c r="J4" s="16">
        <f>IF($F4&lt;&gt;"OK","",G4/HorasDia)</f>
        <v/>
      </c>
      <c r="K4" s="16">
        <f>IF($F4&lt;&gt;"OK","",I4/HorasDia)</f>
        <v/>
      </c>
      <c r="L4" s="16">
        <f>IF($F4&lt;&gt;"OK","",H4/HorasDia)</f>
        <v/>
      </c>
      <c r="M4" s="17">
        <f>IF($F4&lt;&gt;"OK","",IF(UPPER(TRIM($D4))="NO",INDEX(Cat_TMax,MATCH($C4,Cat_Nombre,0)),INDEX(Cat_TMin,MATCH($C4,Cat_Nombre,0))))</f>
        <v/>
      </c>
      <c r="N4" s="17">
        <f>IF($F4&lt;&gt;"OK","",INDEX(Cat_TMax,MATCH($C4,Cat_Nombre,0)))</f>
        <v/>
      </c>
      <c r="O4" s="18">
        <f>IF($F4&lt;&gt;"OK","",INDEX(Cat_POpus,MATCH($C4,Cat_Nombre,0)))</f>
        <v/>
      </c>
      <c r="P4" s="19">
        <f>IF($F4&lt;&gt;"OK","",M4/1000000*((1-O4)*UsdM_Sonnet+O4*UsdM_Opus))</f>
        <v/>
      </c>
      <c r="Q4" s="19">
        <f>IF($F4&lt;&gt;"OK","",N4/1000000*((1-O4)*UsdM_Sonnet+O4*UsdM_Opus))</f>
        <v/>
      </c>
      <c r="R4" s="19">
        <f>IF($F4&lt;&gt;"OK","",G4*TarifaHora)</f>
        <v/>
      </c>
      <c r="S4" s="19">
        <f>IF($F4&lt;&gt;"OK","",H4*TarifaHora)</f>
        <v/>
      </c>
      <c r="T4" s="10">
        <f>IF($F4&lt;&gt;"OK","",IF(COUNTIFS($A$2:$A4,$A4,$F$2:$F4,"OK")=1,MAX($T$1:$T3)+1,""))</f>
        <v/>
      </c>
    </row>
    <row r="5">
      <c r="A5" s="11" t="inlineStr">
        <is>
          <t>Hito 1 - Clientes y gastos</t>
        </is>
      </c>
      <c r="B5" s="11" t="inlineStr">
        <is>
          <t>CRUD de clientes</t>
        </is>
      </c>
      <c r="C5" s="11" t="inlineStr">
        <is>
          <t>Moderado</t>
        </is>
      </c>
      <c r="D5" s="11" t="inlineStr">
        <is>
          <t>Sí</t>
        </is>
      </c>
      <c r="E5" s="11" t="n"/>
      <c r="F5" s="10">
        <f>IF(AND($A5="",$B5="",$C5=""),"",IF($A5="","⚠ Falta hito",IF(ISNA(MATCH($C5,Cat_Nombre,0)),"⚠ Categoría inválida","OK")))</f>
        <v/>
      </c>
      <c r="G5" s="16">
        <f>IF($F5&lt;&gt;"OK","",IF(UPPER(TRIM($D5))="NO",INDEX(Cat_HMax,MATCH($C5,Cat_Nombre,0)),INDEX(Cat_HMin,MATCH($C5,Cat_Nombre,0))))</f>
        <v/>
      </c>
      <c r="H5" s="16">
        <f>IF($F5&lt;&gt;"OK","",INDEX(Cat_HMax,MATCH($C5,Cat_Nombre,0)))</f>
        <v/>
      </c>
      <c r="I5" s="16">
        <f>IF($F5&lt;&gt;"OK","",(G5+H5)/2)</f>
        <v/>
      </c>
      <c r="J5" s="16">
        <f>IF($F5&lt;&gt;"OK","",G5/HorasDia)</f>
        <v/>
      </c>
      <c r="K5" s="16">
        <f>IF($F5&lt;&gt;"OK","",I5/HorasDia)</f>
        <v/>
      </c>
      <c r="L5" s="16">
        <f>IF($F5&lt;&gt;"OK","",H5/HorasDia)</f>
        <v/>
      </c>
      <c r="M5" s="17">
        <f>IF($F5&lt;&gt;"OK","",IF(UPPER(TRIM($D5))="NO",INDEX(Cat_TMax,MATCH($C5,Cat_Nombre,0)),INDEX(Cat_TMin,MATCH($C5,Cat_Nombre,0))))</f>
        <v/>
      </c>
      <c r="N5" s="17">
        <f>IF($F5&lt;&gt;"OK","",INDEX(Cat_TMax,MATCH($C5,Cat_Nombre,0)))</f>
        <v/>
      </c>
      <c r="O5" s="18">
        <f>IF($F5&lt;&gt;"OK","",INDEX(Cat_POpus,MATCH($C5,Cat_Nombre,0)))</f>
        <v/>
      </c>
      <c r="P5" s="19">
        <f>IF($F5&lt;&gt;"OK","",M5/1000000*((1-O5)*UsdM_Sonnet+O5*UsdM_Opus))</f>
        <v/>
      </c>
      <c r="Q5" s="19">
        <f>IF($F5&lt;&gt;"OK","",N5/1000000*((1-O5)*UsdM_Sonnet+O5*UsdM_Opus))</f>
        <v/>
      </c>
      <c r="R5" s="19">
        <f>IF($F5&lt;&gt;"OK","",G5*TarifaHora)</f>
        <v/>
      </c>
      <c r="S5" s="19">
        <f>IF($F5&lt;&gt;"OK","",H5*TarifaHora)</f>
        <v/>
      </c>
      <c r="T5" s="10">
        <f>IF($F5&lt;&gt;"OK","",IF(COUNTIFS($A$2:$A5,$A5,$F$2:$F5,"OK")=1,MAX($T$1:$T4)+1,""))</f>
        <v/>
      </c>
    </row>
    <row r="6">
      <c r="A6" s="11" t="inlineStr">
        <is>
          <t>Hito 1 - Clientes y gastos</t>
        </is>
      </c>
      <c r="B6" s="11" t="inlineStr">
        <is>
          <t>CRUD de proveedores</t>
        </is>
      </c>
      <c r="C6" s="11" t="inlineStr">
        <is>
          <t>Simple</t>
        </is>
      </c>
      <c r="D6" s="11" t="inlineStr">
        <is>
          <t>Sí</t>
        </is>
      </c>
      <c r="E6" s="11" t="n"/>
      <c r="F6" s="10">
        <f>IF(AND($A6="",$B6="",$C6=""),"",IF($A6="","⚠ Falta hito",IF(ISNA(MATCH($C6,Cat_Nombre,0)),"⚠ Categoría inválida","OK")))</f>
        <v/>
      </c>
      <c r="G6" s="16">
        <f>IF($F6&lt;&gt;"OK","",IF(UPPER(TRIM($D6))="NO",INDEX(Cat_HMax,MATCH($C6,Cat_Nombre,0)),INDEX(Cat_HMin,MATCH($C6,Cat_Nombre,0))))</f>
        <v/>
      </c>
      <c r="H6" s="16">
        <f>IF($F6&lt;&gt;"OK","",INDEX(Cat_HMax,MATCH($C6,Cat_Nombre,0)))</f>
        <v/>
      </c>
      <c r="I6" s="16">
        <f>IF($F6&lt;&gt;"OK","",(G6+H6)/2)</f>
        <v/>
      </c>
      <c r="J6" s="16">
        <f>IF($F6&lt;&gt;"OK","",G6/HorasDia)</f>
        <v/>
      </c>
      <c r="K6" s="16">
        <f>IF($F6&lt;&gt;"OK","",I6/HorasDia)</f>
        <v/>
      </c>
      <c r="L6" s="16">
        <f>IF($F6&lt;&gt;"OK","",H6/HorasDia)</f>
        <v/>
      </c>
      <c r="M6" s="17">
        <f>IF($F6&lt;&gt;"OK","",IF(UPPER(TRIM($D6))="NO",INDEX(Cat_TMax,MATCH($C6,Cat_Nombre,0)),INDEX(Cat_TMin,MATCH($C6,Cat_Nombre,0))))</f>
        <v/>
      </c>
      <c r="N6" s="17">
        <f>IF($F6&lt;&gt;"OK","",INDEX(Cat_TMax,MATCH($C6,Cat_Nombre,0)))</f>
        <v/>
      </c>
      <c r="O6" s="18">
        <f>IF($F6&lt;&gt;"OK","",INDEX(Cat_POpus,MATCH($C6,Cat_Nombre,0)))</f>
        <v/>
      </c>
      <c r="P6" s="19">
        <f>IF($F6&lt;&gt;"OK","",M6/1000000*((1-O6)*UsdM_Sonnet+O6*UsdM_Opus))</f>
        <v/>
      </c>
      <c r="Q6" s="19">
        <f>IF($F6&lt;&gt;"OK","",N6/1000000*((1-O6)*UsdM_Sonnet+O6*UsdM_Opus))</f>
        <v/>
      </c>
      <c r="R6" s="19">
        <f>IF($F6&lt;&gt;"OK","",G6*TarifaHora)</f>
        <v/>
      </c>
      <c r="S6" s="19">
        <f>IF($F6&lt;&gt;"OK","",H6*TarifaHora)</f>
        <v/>
      </c>
      <c r="T6" s="10">
        <f>IF($F6&lt;&gt;"OK","",IF(COUNTIFS($A$2:$A6,$A6,$F$2:$F6,"OK")=1,MAX($T$1:$T5)+1,""))</f>
        <v/>
      </c>
    </row>
    <row r="7">
      <c r="A7" s="11" t="inlineStr">
        <is>
          <t>Hito 1 - Clientes y gastos</t>
        </is>
      </c>
      <c r="B7" s="11" t="inlineStr">
        <is>
          <t>Motor de alertas de gasto vs. presupuesto</t>
        </is>
      </c>
      <c r="C7" s="11" t="inlineStr">
        <is>
          <t>Complejo</t>
        </is>
      </c>
      <c r="D7" s="11" t="inlineStr">
        <is>
          <t>No</t>
        </is>
      </c>
      <c r="E7" s="11" t="n"/>
      <c r="F7" s="10">
        <f>IF(AND($A7="",$B7="",$C7=""),"",IF($A7="","⚠ Falta hito",IF(ISNA(MATCH($C7,Cat_Nombre,0)),"⚠ Categoría inválida","OK")))</f>
        <v/>
      </c>
      <c r="G7" s="16">
        <f>IF($F7&lt;&gt;"OK","",IF(UPPER(TRIM($D7))="NO",INDEX(Cat_HMax,MATCH($C7,Cat_Nombre,0)),INDEX(Cat_HMin,MATCH($C7,Cat_Nombre,0))))</f>
        <v/>
      </c>
      <c r="H7" s="16">
        <f>IF($F7&lt;&gt;"OK","",INDEX(Cat_HMax,MATCH($C7,Cat_Nombre,0)))</f>
        <v/>
      </c>
      <c r="I7" s="16">
        <f>IF($F7&lt;&gt;"OK","",(G7+H7)/2)</f>
        <v/>
      </c>
      <c r="J7" s="16">
        <f>IF($F7&lt;&gt;"OK","",G7/HorasDia)</f>
        <v/>
      </c>
      <c r="K7" s="16">
        <f>IF($F7&lt;&gt;"OK","",I7/HorasDia)</f>
        <v/>
      </c>
      <c r="L7" s="16">
        <f>IF($F7&lt;&gt;"OK","",H7/HorasDia)</f>
        <v/>
      </c>
      <c r="M7" s="17">
        <f>IF($F7&lt;&gt;"OK","",IF(UPPER(TRIM($D7))="NO",INDEX(Cat_TMax,MATCH($C7,Cat_Nombre,0)),INDEX(Cat_TMin,MATCH($C7,Cat_Nombre,0))))</f>
        <v/>
      </c>
      <c r="N7" s="17">
        <f>IF($F7&lt;&gt;"OK","",INDEX(Cat_TMax,MATCH($C7,Cat_Nombre,0)))</f>
        <v/>
      </c>
      <c r="O7" s="18">
        <f>IF($F7&lt;&gt;"OK","",INDEX(Cat_POpus,MATCH($C7,Cat_Nombre,0)))</f>
        <v/>
      </c>
      <c r="P7" s="19">
        <f>IF($F7&lt;&gt;"OK","",M7/1000000*((1-O7)*UsdM_Sonnet+O7*UsdM_Opus))</f>
        <v/>
      </c>
      <c r="Q7" s="19">
        <f>IF($F7&lt;&gt;"OK","",N7/1000000*((1-O7)*UsdM_Sonnet+O7*UsdM_Opus))</f>
        <v/>
      </c>
      <c r="R7" s="19">
        <f>IF($F7&lt;&gt;"OK","",G7*TarifaHora)</f>
        <v/>
      </c>
      <c r="S7" s="19">
        <f>IF($F7&lt;&gt;"OK","",H7*TarifaHora)</f>
        <v/>
      </c>
      <c r="T7" s="10">
        <f>IF($F7&lt;&gt;"OK","",IF(COUNTIFS($A$2:$A7,$A7,$F$2:$F7,"OK")=1,MAX($T$1:$T6)+1,""))</f>
        <v/>
      </c>
    </row>
    <row r="8">
      <c r="A8" s="11" t="inlineStr">
        <is>
          <t>Hito 2 - Reportes</t>
        </is>
      </c>
      <c r="B8" s="11" t="inlineStr">
        <is>
          <t>Reporte mensual exportable a PDF</t>
        </is>
      </c>
      <c r="C8" s="11" t="inlineStr">
        <is>
          <t>Moderado</t>
        </is>
      </c>
      <c r="D8" s="11" t="inlineStr">
        <is>
          <t>Sí</t>
        </is>
      </c>
      <c r="E8" s="11" t="n"/>
      <c r="F8" s="10">
        <f>IF(AND($A8="",$B8="",$C8=""),"",IF($A8="","⚠ Falta hito",IF(ISNA(MATCH($C8,Cat_Nombre,0)),"⚠ Categoría inválida","OK")))</f>
        <v/>
      </c>
      <c r="G8" s="16">
        <f>IF($F8&lt;&gt;"OK","",IF(UPPER(TRIM($D8))="NO",INDEX(Cat_HMax,MATCH($C8,Cat_Nombre,0)),INDEX(Cat_HMin,MATCH($C8,Cat_Nombre,0))))</f>
        <v/>
      </c>
      <c r="H8" s="16">
        <f>IF($F8&lt;&gt;"OK","",INDEX(Cat_HMax,MATCH($C8,Cat_Nombre,0)))</f>
        <v/>
      </c>
      <c r="I8" s="16">
        <f>IF($F8&lt;&gt;"OK","",(G8+H8)/2)</f>
        <v/>
      </c>
      <c r="J8" s="16">
        <f>IF($F8&lt;&gt;"OK","",G8/HorasDia)</f>
        <v/>
      </c>
      <c r="K8" s="16">
        <f>IF($F8&lt;&gt;"OK","",I8/HorasDia)</f>
        <v/>
      </c>
      <c r="L8" s="16">
        <f>IF($F8&lt;&gt;"OK","",H8/HorasDia)</f>
        <v/>
      </c>
      <c r="M8" s="17">
        <f>IF($F8&lt;&gt;"OK","",IF(UPPER(TRIM($D8))="NO",INDEX(Cat_TMax,MATCH($C8,Cat_Nombre,0)),INDEX(Cat_TMin,MATCH($C8,Cat_Nombre,0))))</f>
        <v/>
      </c>
      <c r="N8" s="17">
        <f>IF($F8&lt;&gt;"OK","",INDEX(Cat_TMax,MATCH($C8,Cat_Nombre,0)))</f>
        <v/>
      </c>
      <c r="O8" s="18">
        <f>IF($F8&lt;&gt;"OK","",INDEX(Cat_POpus,MATCH($C8,Cat_Nombre,0)))</f>
        <v/>
      </c>
      <c r="P8" s="19">
        <f>IF($F8&lt;&gt;"OK","",M8/1000000*((1-O8)*UsdM_Sonnet+O8*UsdM_Opus))</f>
        <v/>
      </c>
      <c r="Q8" s="19">
        <f>IF($F8&lt;&gt;"OK","",N8/1000000*((1-O8)*UsdM_Sonnet+O8*UsdM_Opus))</f>
        <v/>
      </c>
      <c r="R8" s="19">
        <f>IF($F8&lt;&gt;"OK","",G8*TarifaHora)</f>
        <v/>
      </c>
      <c r="S8" s="19">
        <f>IF($F8&lt;&gt;"OK","",H8*TarifaHora)</f>
        <v/>
      </c>
      <c r="T8" s="10">
        <f>IF($F8&lt;&gt;"OK","",IF(COUNTIFS($A$2:$A8,$A8,$F$2:$F8,"OK")=1,MAX($T$1:$T7)+1,""))</f>
        <v/>
      </c>
    </row>
    <row r="9">
      <c r="A9" s="11" t="inlineStr">
        <is>
          <t>Hito 2 - Reportes</t>
        </is>
      </c>
      <c r="B9" s="11" t="inlineStr">
        <is>
          <t>Dashboard de indicadores</t>
        </is>
      </c>
      <c r="C9" s="11" t="inlineStr">
        <is>
          <t>Moderado</t>
        </is>
      </c>
      <c r="D9" s="11" t="inlineStr">
        <is>
          <t>No</t>
        </is>
      </c>
      <c r="E9" s="11" t="n"/>
      <c r="F9" s="10">
        <f>IF(AND($A9="",$B9="",$C9=""),"",IF($A9="","⚠ Falta hito",IF(ISNA(MATCH($C9,Cat_Nombre,0)),"⚠ Categoría inválida","OK")))</f>
        <v/>
      </c>
      <c r="G9" s="16">
        <f>IF($F9&lt;&gt;"OK","",IF(UPPER(TRIM($D9))="NO",INDEX(Cat_HMax,MATCH($C9,Cat_Nombre,0)),INDEX(Cat_HMin,MATCH($C9,Cat_Nombre,0))))</f>
        <v/>
      </c>
      <c r="H9" s="16">
        <f>IF($F9&lt;&gt;"OK","",INDEX(Cat_HMax,MATCH($C9,Cat_Nombre,0)))</f>
        <v/>
      </c>
      <c r="I9" s="16">
        <f>IF($F9&lt;&gt;"OK","",(G9+H9)/2)</f>
        <v/>
      </c>
      <c r="J9" s="16">
        <f>IF($F9&lt;&gt;"OK","",G9/HorasDia)</f>
        <v/>
      </c>
      <c r="K9" s="16">
        <f>IF($F9&lt;&gt;"OK","",I9/HorasDia)</f>
        <v/>
      </c>
      <c r="L9" s="16">
        <f>IF($F9&lt;&gt;"OK","",H9/HorasDia)</f>
        <v/>
      </c>
      <c r="M9" s="17">
        <f>IF($F9&lt;&gt;"OK","",IF(UPPER(TRIM($D9))="NO",INDEX(Cat_TMax,MATCH($C9,Cat_Nombre,0)),INDEX(Cat_TMin,MATCH($C9,Cat_Nombre,0))))</f>
        <v/>
      </c>
      <c r="N9" s="17">
        <f>IF($F9&lt;&gt;"OK","",INDEX(Cat_TMax,MATCH($C9,Cat_Nombre,0)))</f>
        <v/>
      </c>
      <c r="O9" s="18">
        <f>IF($F9&lt;&gt;"OK","",INDEX(Cat_POpus,MATCH($C9,Cat_Nombre,0)))</f>
        <v/>
      </c>
      <c r="P9" s="19">
        <f>IF($F9&lt;&gt;"OK","",M9/1000000*((1-O9)*UsdM_Sonnet+O9*UsdM_Opus))</f>
        <v/>
      </c>
      <c r="Q9" s="19">
        <f>IF($F9&lt;&gt;"OK","",N9/1000000*((1-O9)*UsdM_Sonnet+O9*UsdM_Opus))</f>
        <v/>
      </c>
      <c r="R9" s="19">
        <f>IF($F9&lt;&gt;"OK","",G9*TarifaHora)</f>
        <v/>
      </c>
      <c r="S9" s="19">
        <f>IF($F9&lt;&gt;"OK","",H9*TarifaHora)</f>
        <v/>
      </c>
      <c r="T9" s="10">
        <f>IF($F9&lt;&gt;"OK","",IF(COUNTIFS($A$2:$A9,$A9,$F$2:$F9,"OK")=1,MAX($T$1:$T8)+1,""))</f>
        <v/>
      </c>
    </row>
    <row r="10">
      <c r="A10" s="11" t="n"/>
      <c r="B10" s="11" t="n"/>
      <c r="C10" s="11" t="n"/>
      <c r="D10" s="11" t="n"/>
      <c r="E10" s="11" t="n"/>
      <c r="F10" s="10">
        <f>IF(AND($A10="",$B10="",$C10=""),"",IF($A10="","⚠ Falta hito",IF(ISNA(MATCH($C10,Cat_Nombre,0)),"⚠ Categoría inválida","OK")))</f>
        <v/>
      </c>
      <c r="G10" s="16">
        <f>IF($F10&lt;&gt;"OK","",IF(UPPER(TRIM($D10))="NO",INDEX(Cat_HMax,MATCH($C10,Cat_Nombre,0)),INDEX(Cat_HMin,MATCH($C10,Cat_Nombre,0))))</f>
        <v/>
      </c>
      <c r="H10" s="16">
        <f>IF($F10&lt;&gt;"OK","",INDEX(Cat_HMax,MATCH($C10,Cat_Nombre,0)))</f>
        <v/>
      </c>
      <c r="I10" s="16">
        <f>IF($F10&lt;&gt;"OK","",(G10+H10)/2)</f>
        <v/>
      </c>
      <c r="J10" s="16">
        <f>IF($F10&lt;&gt;"OK","",G10/HorasDia)</f>
        <v/>
      </c>
      <c r="K10" s="16">
        <f>IF($F10&lt;&gt;"OK","",I10/HorasDia)</f>
        <v/>
      </c>
      <c r="L10" s="16">
        <f>IF($F10&lt;&gt;"OK","",H10/HorasDia)</f>
        <v/>
      </c>
      <c r="M10" s="17">
        <f>IF($F10&lt;&gt;"OK","",IF(UPPER(TRIM($D10))="NO",INDEX(Cat_TMax,MATCH($C10,Cat_Nombre,0)),INDEX(Cat_TMin,MATCH($C10,Cat_Nombre,0))))</f>
        <v/>
      </c>
      <c r="N10" s="17">
        <f>IF($F10&lt;&gt;"OK","",INDEX(Cat_TMax,MATCH($C10,Cat_Nombre,0)))</f>
        <v/>
      </c>
      <c r="O10" s="18">
        <f>IF($F10&lt;&gt;"OK","",INDEX(Cat_POpus,MATCH($C10,Cat_Nombre,0)))</f>
        <v/>
      </c>
      <c r="P10" s="19">
        <f>IF($F10&lt;&gt;"OK","",M10/1000000*((1-O10)*UsdM_Sonnet+O10*UsdM_Opus))</f>
        <v/>
      </c>
      <c r="Q10" s="19">
        <f>IF($F10&lt;&gt;"OK","",N10/1000000*((1-O10)*UsdM_Sonnet+O10*UsdM_Opus))</f>
        <v/>
      </c>
      <c r="R10" s="19">
        <f>IF($F10&lt;&gt;"OK","",G10*TarifaHora)</f>
        <v/>
      </c>
      <c r="S10" s="19">
        <f>IF($F10&lt;&gt;"OK","",H10*TarifaHora)</f>
        <v/>
      </c>
      <c r="T10" s="10">
        <f>IF($F10&lt;&gt;"OK","",IF(COUNTIFS($A$2:$A10,$A10,$F$2:$F10,"OK")=1,MAX($T$1:$T9)+1,""))</f>
        <v/>
      </c>
    </row>
    <row r="11">
      <c r="A11" s="11" t="n"/>
      <c r="B11" s="11" t="n"/>
      <c r="C11" s="11" t="n"/>
      <c r="D11" s="11" t="n"/>
      <c r="E11" s="11" t="n"/>
      <c r="F11" s="10">
        <f>IF(AND($A11="",$B11="",$C11=""),"",IF($A11="","⚠ Falta hito",IF(ISNA(MATCH($C11,Cat_Nombre,0)),"⚠ Categoría inválida","OK")))</f>
        <v/>
      </c>
      <c r="G11" s="16">
        <f>IF($F11&lt;&gt;"OK","",IF(UPPER(TRIM($D11))="NO",INDEX(Cat_HMax,MATCH($C11,Cat_Nombre,0)),INDEX(Cat_HMin,MATCH($C11,Cat_Nombre,0))))</f>
        <v/>
      </c>
      <c r="H11" s="16">
        <f>IF($F11&lt;&gt;"OK","",INDEX(Cat_HMax,MATCH($C11,Cat_Nombre,0)))</f>
        <v/>
      </c>
      <c r="I11" s="16">
        <f>IF($F11&lt;&gt;"OK","",(G11+H11)/2)</f>
        <v/>
      </c>
      <c r="J11" s="16">
        <f>IF($F11&lt;&gt;"OK","",G11/HorasDia)</f>
        <v/>
      </c>
      <c r="K11" s="16">
        <f>IF($F11&lt;&gt;"OK","",I11/HorasDia)</f>
        <v/>
      </c>
      <c r="L11" s="16">
        <f>IF($F11&lt;&gt;"OK","",H11/HorasDia)</f>
        <v/>
      </c>
      <c r="M11" s="17">
        <f>IF($F11&lt;&gt;"OK","",IF(UPPER(TRIM($D11))="NO",INDEX(Cat_TMax,MATCH($C11,Cat_Nombre,0)),INDEX(Cat_TMin,MATCH($C11,Cat_Nombre,0))))</f>
        <v/>
      </c>
      <c r="N11" s="17">
        <f>IF($F11&lt;&gt;"OK","",INDEX(Cat_TMax,MATCH($C11,Cat_Nombre,0)))</f>
        <v/>
      </c>
      <c r="O11" s="18">
        <f>IF($F11&lt;&gt;"OK","",INDEX(Cat_POpus,MATCH($C11,Cat_Nombre,0)))</f>
        <v/>
      </c>
      <c r="P11" s="19">
        <f>IF($F11&lt;&gt;"OK","",M11/1000000*((1-O11)*UsdM_Sonnet+O11*UsdM_Opus))</f>
        <v/>
      </c>
      <c r="Q11" s="19">
        <f>IF($F11&lt;&gt;"OK","",N11/1000000*((1-O11)*UsdM_Sonnet+O11*UsdM_Opus))</f>
        <v/>
      </c>
      <c r="R11" s="19">
        <f>IF($F11&lt;&gt;"OK","",G11*TarifaHora)</f>
        <v/>
      </c>
      <c r="S11" s="19">
        <f>IF($F11&lt;&gt;"OK","",H11*TarifaHora)</f>
        <v/>
      </c>
      <c r="T11" s="10">
        <f>IF($F11&lt;&gt;"OK","",IF(COUNTIFS($A$2:$A11,$A11,$F$2:$F11,"OK")=1,MAX($T$1:$T10)+1,""))</f>
        <v/>
      </c>
    </row>
    <row r="12">
      <c r="A12" s="11" t="n"/>
      <c r="B12" s="11" t="n"/>
      <c r="C12" s="11" t="n"/>
      <c r="D12" s="11" t="n"/>
      <c r="E12" s="11" t="n"/>
      <c r="F12" s="10">
        <f>IF(AND($A12="",$B12="",$C12=""),"",IF($A12="","⚠ Falta hito",IF(ISNA(MATCH($C12,Cat_Nombre,0)),"⚠ Categoría inválida","OK")))</f>
        <v/>
      </c>
      <c r="G12" s="16">
        <f>IF($F12&lt;&gt;"OK","",IF(UPPER(TRIM($D12))="NO",INDEX(Cat_HMax,MATCH($C12,Cat_Nombre,0)),INDEX(Cat_HMin,MATCH($C12,Cat_Nombre,0))))</f>
        <v/>
      </c>
      <c r="H12" s="16">
        <f>IF($F12&lt;&gt;"OK","",INDEX(Cat_HMax,MATCH($C12,Cat_Nombre,0)))</f>
        <v/>
      </c>
      <c r="I12" s="16">
        <f>IF($F12&lt;&gt;"OK","",(G12+H12)/2)</f>
        <v/>
      </c>
      <c r="J12" s="16">
        <f>IF($F12&lt;&gt;"OK","",G12/HorasDia)</f>
        <v/>
      </c>
      <c r="K12" s="16">
        <f>IF($F12&lt;&gt;"OK","",I12/HorasDia)</f>
        <v/>
      </c>
      <c r="L12" s="16">
        <f>IF($F12&lt;&gt;"OK","",H12/HorasDia)</f>
        <v/>
      </c>
      <c r="M12" s="17">
        <f>IF($F12&lt;&gt;"OK","",IF(UPPER(TRIM($D12))="NO",INDEX(Cat_TMax,MATCH($C12,Cat_Nombre,0)),INDEX(Cat_TMin,MATCH($C12,Cat_Nombre,0))))</f>
        <v/>
      </c>
      <c r="N12" s="17">
        <f>IF($F12&lt;&gt;"OK","",INDEX(Cat_TMax,MATCH($C12,Cat_Nombre,0)))</f>
        <v/>
      </c>
      <c r="O12" s="18">
        <f>IF($F12&lt;&gt;"OK","",INDEX(Cat_POpus,MATCH($C12,Cat_Nombre,0)))</f>
        <v/>
      </c>
      <c r="P12" s="19">
        <f>IF($F12&lt;&gt;"OK","",M12/1000000*((1-O12)*UsdM_Sonnet+O12*UsdM_Opus))</f>
        <v/>
      </c>
      <c r="Q12" s="19">
        <f>IF($F12&lt;&gt;"OK","",N12/1000000*((1-O12)*UsdM_Sonnet+O12*UsdM_Opus))</f>
        <v/>
      </c>
      <c r="R12" s="19">
        <f>IF($F12&lt;&gt;"OK","",G12*TarifaHora)</f>
        <v/>
      </c>
      <c r="S12" s="19">
        <f>IF($F12&lt;&gt;"OK","",H12*TarifaHora)</f>
        <v/>
      </c>
      <c r="T12" s="10">
        <f>IF($F12&lt;&gt;"OK","",IF(COUNTIFS($A$2:$A12,$A12,$F$2:$F12,"OK")=1,MAX($T$1:$T11)+1,""))</f>
        <v/>
      </c>
    </row>
    <row r="13">
      <c r="A13" s="11" t="n"/>
      <c r="B13" s="11" t="n"/>
      <c r="C13" s="11" t="n"/>
      <c r="D13" s="11" t="n"/>
      <c r="E13" s="11" t="n"/>
      <c r="F13" s="10">
        <f>IF(AND($A13="",$B13="",$C13=""),"",IF($A13="","⚠ Falta hito",IF(ISNA(MATCH($C13,Cat_Nombre,0)),"⚠ Categoría inválida","OK")))</f>
        <v/>
      </c>
      <c r="G13" s="16">
        <f>IF($F13&lt;&gt;"OK","",IF(UPPER(TRIM($D13))="NO",INDEX(Cat_HMax,MATCH($C13,Cat_Nombre,0)),INDEX(Cat_HMin,MATCH($C13,Cat_Nombre,0))))</f>
        <v/>
      </c>
      <c r="H13" s="16">
        <f>IF($F13&lt;&gt;"OK","",INDEX(Cat_HMax,MATCH($C13,Cat_Nombre,0)))</f>
        <v/>
      </c>
      <c r="I13" s="16">
        <f>IF($F13&lt;&gt;"OK","",(G13+H13)/2)</f>
        <v/>
      </c>
      <c r="J13" s="16">
        <f>IF($F13&lt;&gt;"OK","",G13/HorasDia)</f>
        <v/>
      </c>
      <c r="K13" s="16">
        <f>IF($F13&lt;&gt;"OK","",I13/HorasDia)</f>
        <v/>
      </c>
      <c r="L13" s="16">
        <f>IF($F13&lt;&gt;"OK","",H13/HorasDia)</f>
        <v/>
      </c>
      <c r="M13" s="17">
        <f>IF($F13&lt;&gt;"OK","",IF(UPPER(TRIM($D13))="NO",INDEX(Cat_TMax,MATCH($C13,Cat_Nombre,0)),INDEX(Cat_TMin,MATCH($C13,Cat_Nombre,0))))</f>
        <v/>
      </c>
      <c r="N13" s="17">
        <f>IF($F13&lt;&gt;"OK","",INDEX(Cat_TMax,MATCH($C13,Cat_Nombre,0)))</f>
        <v/>
      </c>
      <c r="O13" s="18">
        <f>IF($F13&lt;&gt;"OK","",INDEX(Cat_POpus,MATCH($C13,Cat_Nombre,0)))</f>
        <v/>
      </c>
      <c r="P13" s="19">
        <f>IF($F13&lt;&gt;"OK","",M13/1000000*((1-O13)*UsdM_Sonnet+O13*UsdM_Opus))</f>
        <v/>
      </c>
      <c r="Q13" s="19">
        <f>IF($F13&lt;&gt;"OK","",N13/1000000*((1-O13)*UsdM_Sonnet+O13*UsdM_Opus))</f>
        <v/>
      </c>
      <c r="R13" s="19">
        <f>IF($F13&lt;&gt;"OK","",G13*TarifaHora)</f>
        <v/>
      </c>
      <c r="S13" s="19">
        <f>IF($F13&lt;&gt;"OK","",H13*TarifaHora)</f>
        <v/>
      </c>
      <c r="T13" s="10">
        <f>IF($F13&lt;&gt;"OK","",IF(COUNTIFS($A$2:$A13,$A13,$F$2:$F13,"OK")=1,MAX($T$1:$T12)+1,""))</f>
        <v/>
      </c>
    </row>
    <row r="14">
      <c r="A14" s="11" t="n"/>
      <c r="B14" s="11" t="n"/>
      <c r="C14" s="11" t="n"/>
      <c r="D14" s="11" t="n"/>
      <c r="E14" s="11" t="n"/>
      <c r="F14" s="10">
        <f>IF(AND($A14="",$B14="",$C14=""),"",IF($A14="","⚠ Falta hito",IF(ISNA(MATCH($C14,Cat_Nombre,0)),"⚠ Categoría inválida","OK")))</f>
        <v/>
      </c>
      <c r="G14" s="16">
        <f>IF($F14&lt;&gt;"OK","",IF(UPPER(TRIM($D14))="NO",INDEX(Cat_HMax,MATCH($C14,Cat_Nombre,0)),INDEX(Cat_HMin,MATCH($C14,Cat_Nombre,0))))</f>
        <v/>
      </c>
      <c r="H14" s="16">
        <f>IF($F14&lt;&gt;"OK","",INDEX(Cat_HMax,MATCH($C14,Cat_Nombre,0)))</f>
        <v/>
      </c>
      <c r="I14" s="16">
        <f>IF($F14&lt;&gt;"OK","",(G14+H14)/2)</f>
        <v/>
      </c>
      <c r="J14" s="16">
        <f>IF($F14&lt;&gt;"OK","",G14/HorasDia)</f>
        <v/>
      </c>
      <c r="K14" s="16">
        <f>IF($F14&lt;&gt;"OK","",I14/HorasDia)</f>
        <v/>
      </c>
      <c r="L14" s="16">
        <f>IF($F14&lt;&gt;"OK","",H14/HorasDia)</f>
        <v/>
      </c>
      <c r="M14" s="17">
        <f>IF($F14&lt;&gt;"OK","",IF(UPPER(TRIM($D14))="NO",INDEX(Cat_TMax,MATCH($C14,Cat_Nombre,0)),INDEX(Cat_TMin,MATCH($C14,Cat_Nombre,0))))</f>
        <v/>
      </c>
      <c r="N14" s="17">
        <f>IF($F14&lt;&gt;"OK","",INDEX(Cat_TMax,MATCH($C14,Cat_Nombre,0)))</f>
        <v/>
      </c>
      <c r="O14" s="18">
        <f>IF($F14&lt;&gt;"OK","",INDEX(Cat_POpus,MATCH($C14,Cat_Nombre,0)))</f>
        <v/>
      </c>
      <c r="P14" s="19">
        <f>IF($F14&lt;&gt;"OK","",M14/1000000*((1-O14)*UsdM_Sonnet+O14*UsdM_Opus))</f>
        <v/>
      </c>
      <c r="Q14" s="19">
        <f>IF($F14&lt;&gt;"OK","",N14/1000000*((1-O14)*UsdM_Sonnet+O14*UsdM_Opus))</f>
        <v/>
      </c>
      <c r="R14" s="19">
        <f>IF($F14&lt;&gt;"OK","",G14*TarifaHora)</f>
        <v/>
      </c>
      <c r="S14" s="19">
        <f>IF($F14&lt;&gt;"OK","",H14*TarifaHora)</f>
        <v/>
      </c>
      <c r="T14" s="10">
        <f>IF($F14&lt;&gt;"OK","",IF(COUNTIFS($A$2:$A14,$A14,$F$2:$F14,"OK")=1,MAX($T$1:$T13)+1,""))</f>
        <v/>
      </c>
    </row>
    <row r="15">
      <c r="A15" s="11" t="n"/>
      <c r="B15" s="11" t="n"/>
      <c r="C15" s="11" t="n"/>
      <c r="D15" s="11" t="n"/>
      <c r="E15" s="11" t="n"/>
      <c r="F15" s="10">
        <f>IF(AND($A15="",$B15="",$C15=""),"",IF($A15="","⚠ Falta hito",IF(ISNA(MATCH($C15,Cat_Nombre,0)),"⚠ Categoría inválida","OK")))</f>
        <v/>
      </c>
      <c r="G15" s="16">
        <f>IF($F15&lt;&gt;"OK","",IF(UPPER(TRIM($D15))="NO",INDEX(Cat_HMax,MATCH($C15,Cat_Nombre,0)),INDEX(Cat_HMin,MATCH($C15,Cat_Nombre,0))))</f>
        <v/>
      </c>
      <c r="H15" s="16">
        <f>IF($F15&lt;&gt;"OK","",INDEX(Cat_HMax,MATCH($C15,Cat_Nombre,0)))</f>
        <v/>
      </c>
      <c r="I15" s="16">
        <f>IF($F15&lt;&gt;"OK","",(G15+H15)/2)</f>
        <v/>
      </c>
      <c r="J15" s="16">
        <f>IF($F15&lt;&gt;"OK","",G15/HorasDia)</f>
        <v/>
      </c>
      <c r="K15" s="16">
        <f>IF($F15&lt;&gt;"OK","",I15/HorasDia)</f>
        <v/>
      </c>
      <c r="L15" s="16">
        <f>IF($F15&lt;&gt;"OK","",H15/HorasDia)</f>
        <v/>
      </c>
      <c r="M15" s="17">
        <f>IF($F15&lt;&gt;"OK","",IF(UPPER(TRIM($D15))="NO",INDEX(Cat_TMax,MATCH($C15,Cat_Nombre,0)),INDEX(Cat_TMin,MATCH($C15,Cat_Nombre,0))))</f>
        <v/>
      </c>
      <c r="N15" s="17">
        <f>IF($F15&lt;&gt;"OK","",INDEX(Cat_TMax,MATCH($C15,Cat_Nombre,0)))</f>
        <v/>
      </c>
      <c r="O15" s="18">
        <f>IF($F15&lt;&gt;"OK","",INDEX(Cat_POpus,MATCH($C15,Cat_Nombre,0)))</f>
        <v/>
      </c>
      <c r="P15" s="19">
        <f>IF($F15&lt;&gt;"OK","",M15/1000000*((1-O15)*UsdM_Sonnet+O15*UsdM_Opus))</f>
        <v/>
      </c>
      <c r="Q15" s="19">
        <f>IF($F15&lt;&gt;"OK","",N15/1000000*((1-O15)*UsdM_Sonnet+O15*UsdM_Opus))</f>
        <v/>
      </c>
      <c r="R15" s="19">
        <f>IF($F15&lt;&gt;"OK","",G15*TarifaHora)</f>
        <v/>
      </c>
      <c r="S15" s="19">
        <f>IF($F15&lt;&gt;"OK","",H15*TarifaHora)</f>
        <v/>
      </c>
      <c r="T15" s="10">
        <f>IF($F15&lt;&gt;"OK","",IF(COUNTIFS($A$2:$A15,$A15,$F$2:$F15,"OK")=1,MAX($T$1:$T14)+1,""))</f>
        <v/>
      </c>
    </row>
    <row r="16">
      <c r="A16" s="11" t="n"/>
      <c r="B16" s="11" t="n"/>
      <c r="C16" s="11" t="n"/>
      <c r="D16" s="11" t="n"/>
      <c r="E16" s="11" t="n"/>
      <c r="F16" s="10">
        <f>IF(AND($A16="",$B16="",$C16=""),"",IF($A16="","⚠ Falta hito",IF(ISNA(MATCH($C16,Cat_Nombre,0)),"⚠ Categoría inválida","OK")))</f>
        <v/>
      </c>
      <c r="G16" s="16">
        <f>IF($F16&lt;&gt;"OK","",IF(UPPER(TRIM($D16))="NO",INDEX(Cat_HMax,MATCH($C16,Cat_Nombre,0)),INDEX(Cat_HMin,MATCH($C16,Cat_Nombre,0))))</f>
        <v/>
      </c>
      <c r="H16" s="16">
        <f>IF($F16&lt;&gt;"OK","",INDEX(Cat_HMax,MATCH($C16,Cat_Nombre,0)))</f>
        <v/>
      </c>
      <c r="I16" s="16">
        <f>IF($F16&lt;&gt;"OK","",(G16+H16)/2)</f>
        <v/>
      </c>
      <c r="J16" s="16">
        <f>IF($F16&lt;&gt;"OK","",G16/HorasDia)</f>
        <v/>
      </c>
      <c r="K16" s="16">
        <f>IF($F16&lt;&gt;"OK","",I16/HorasDia)</f>
        <v/>
      </c>
      <c r="L16" s="16">
        <f>IF($F16&lt;&gt;"OK","",H16/HorasDia)</f>
        <v/>
      </c>
      <c r="M16" s="17">
        <f>IF($F16&lt;&gt;"OK","",IF(UPPER(TRIM($D16))="NO",INDEX(Cat_TMax,MATCH($C16,Cat_Nombre,0)),INDEX(Cat_TMin,MATCH($C16,Cat_Nombre,0))))</f>
        <v/>
      </c>
      <c r="N16" s="17">
        <f>IF($F16&lt;&gt;"OK","",INDEX(Cat_TMax,MATCH($C16,Cat_Nombre,0)))</f>
        <v/>
      </c>
      <c r="O16" s="18">
        <f>IF($F16&lt;&gt;"OK","",INDEX(Cat_POpus,MATCH($C16,Cat_Nombre,0)))</f>
        <v/>
      </c>
      <c r="P16" s="19">
        <f>IF($F16&lt;&gt;"OK","",M16/1000000*((1-O16)*UsdM_Sonnet+O16*UsdM_Opus))</f>
        <v/>
      </c>
      <c r="Q16" s="19">
        <f>IF($F16&lt;&gt;"OK","",N16/1000000*((1-O16)*UsdM_Sonnet+O16*UsdM_Opus))</f>
        <v/>
      </c>
      <c r="R16" s="19">
        <f>IF($F16&lt;&gt;"OK","",G16*TarifaHora)</f>
        <v/>
      </c>
      <c r="S16" s="19">
        <f>IF($F16&lt;&gt;"OK","",H16*TarifaHora)</f>
        <v/>
      </c>
      <c r="T16" s="10">
        <f>IF($F16&lt;&gt;"OK","",IF(COUNTIFS($A$2:$A16,$A16,$F$2:$F16,"OK")=1,MAX($T$1:$T15)+1,""))</f>
        <v/>
      </c>
    </row>
    <row r="17">
      <c r="A17" s="11" t="n"/>
      <c r="B17" s="11" t="n"/>
      <c r="C17" s="11" t="n"/>
      <c r="D17" s="11" t="n"/>
      <c r="E17" s="11" t="n"/>
      <c r="F17" s="10">
        <f>IF(AND($A17="",$B17="",$C17=""),"",IF($A17="","⚠ Falta hito",IF(ISNA(MATCH($C17,Cat_Nombre,0)),"⚠ Categoría inválida","OK")))</f>
        <v/>
      </c>
      <c r="G17" s="16">
        <f>IF($F17&lt;&gt;"OK","",IF(UPPER(TRIM($D17))="NO",INDEX(Cat_HMax,MATCH($C17,Cat_Nombre,0)),INDEX(Cat_HMin,MATCH($C17,Cat_Nombre,0))))</f>
        <v/>
      </c>
      <c r="H17" s="16">
        <f>IF($F17&lt;&gt;"OK","",INDEX(Cat_HMax,MATCH($C17,Cat_Nombre,0)))</f>
        <v/>
      </c>
      <c r="I17" s="16">
        <f>IF($F17&lt;&gt;"OK","",(G17+H17)/2)</f>
        <v/>
      </c>
      <c r="J17" s="16">
        <f>IF($F17&lt;&gt;"OK","",G17/HorasDia)</f>
        <v/>
      </c>
      <c r="K17" s="16">
        <f>IF($F17&lt;&gt;"OK","",I17/HorasDia)</f>
        <v/>
      </c>
      <c r="L17" s="16">
        <f>IF($F17&lt;&gt;"OK","",H17/HorasDia)</f>
        <v/>
      </c>
      <c r="M17" s="17">
        <f>IF($F17&lt;&gt;"OK","",IF(UPPER(TRIM($D17))="NO",INDEX(Cat_TMax,MATCH($C17,Cat_Nombre,0)),INDEX(Cat_TMin,MATCH($C17,Cat_Nombre,0))))</f>
        <v/>
      </c>
      <c r="N17" s="17">
        <f>IF($F17&lt;&gt;"OK","",INDEX(Cat_TMax,MATCH($C17,Cat_Nombre,0)))</f>
        <v/>
      </c>
      <c r="O17" s="18">
        <f>IF($F17&lt;&gt;"OK","",INDEX(Cat_POpus,MATCH($C17,Cat_Nombre,0)))</f>
        <v/>
      </c>
      <c r="P17" s="19">
        <f>IF($F17&lt;&gt;"OK","",M17/1000000*((1-O17)*UsdM_Sonnet+O17*UsdM_Opus))</f>
        <v/>
      </c>
      <c r="Q17" s="19">
        <f>IF($F17&lt;&gt;"OK","",N17/1000000*((1-O17)*UsdM_Sonnet+O17*UsdM_Opus))</f>
        <v/>
      </c>
      <c r="R17" s="19">
        <f>IF($F17&lt;&gt;"OK","",G17*TarifaHora)</f>
        <v/>
      </c>
      <c r="S17" s="19">
        <f>IF($F17&lt;&gt;"OK","",H17*TarifaHora)</f>
        <v/>
      </c>
      <c r="T17" s="10">
        <f>IF($F17&lt;&gt;"OK","",IF(COUNTIFS($A$2:$A17,$A17,$F$2:$F17,"OK")=1,MAX($T$1:$T16)+1,""))</f>
        <v/>
      </c>
    </row>
    <row r="18">
      <c r="A18" s="11" t="n"/>
      <c r="B18" s="11" t="n"/>
      <c r="C18" s="11" t="n"/>
      <c r="D18" s="11" t="n"/>
      <c r="E18" s="11" t="n"/>
      <c r="F18" s="10">
        <f>IF(AND($A18="",$B18="",$C18=""),"",IF($A18="","⚠ Falta hito",IF(ISNA(MATCH($C18,Cat_Nombre,0)),"⚠ Categoría inválida","OK")))</f>
        <v/>
      </c>
      <c r="G18" s="16">
        <f>IF($F18&lt;&gt;"OK","",IF(UPPER(TRIM($D18))="NO",INDEX(Cat_HMax,MATCH($C18,Cat_Nombre,0)),INDEX(Cat_HMin,MATCH($C18,Cat_Nombre,0))))</f>
        <v/>
      </c>
      <c r="H18" s="16">
        <f>IF($F18&lt;&gt;"OK","",INDEX(Cat_HMax,MATCH($C18,Cat_Nombre,0)))</f>
        <v/>
      </c>
      <c r="I18" s="16">
        <f>IF($F18&lt;&gt;"OK","",(G18+H18)/2)</f>
        <v/>
      </c>
      <c r="J18" s="16">
        <f>IF($F18&lt;&gt;"OK","",G18/HorasDia)</f>
        <v/>
      </c>
      <c r="K18" s="16">
        <f>IF($F18&lt;&gt;"OK","",I18/HorasDia)</f>
        <v/>
      </c>
      <c r="L18" s="16">
        <f>IF($F18&lt;&gt;"OK","",H18/HorasDia)</f>
        <v/>
      </c>
      <c r="M18" s="17">
        <f>IF($F18&lt;&gt;"OK","",IF(UPPER(TRIM($D18))="NO",INDEX(Cat_TMax,MATCH($C18,Cat_Nombre,0)),INDEX(Cat_TMin,MATCH($C18,Cat_Nombre,0))))</f>
        <v/>
      </c>
      <c r="N18" s="17">
        <f>IF($F18&lt;&gt;"OK","",INDEX(Cat_TMax,MATCH($C18,Cat_Nombre,0)))</f>
        <v/>
      </c>
      <c r="O18" s="18">
        <f>IF($F18&lt;&gt;"OK","",INDEX(Cat_POpus,MATCH($C18,Cat_Nombre,0)))</f>
        <v/>
      </c>
      <c r="P18" s="19">
        <f>IF($F18&lt;&gt;"OK","",M18/1000000*((1-O18)*UsdM_Sonnet+O18*UsdM_Opus))</f>
        <v/>
      </c>
      <c r="Q18" s="19">
        <f>IF($F18&lt;&gt;"OK","",N18/1000000*((1-O18)*UsdM_Sonnet+O18*UsdM_Opus))</f>
        <v/>
      </c>
      <c r="R18" s="19">
        <f>IF($F18&lt;&gt;"OK","",G18*TarifaHora)</f>
        <v/>
      </c>
      <c r="S18" s="19">
        <f>IF($F18&lt;&gt;"OK","",H18*TarifaHora)</f>
        <v/>
      </c>
      <c r="T18" s="10">
        <f>IF($F18&lt;&gt;"OK","",IF(COUNTIFS($A$2:$A18,$A18,$F$2:$F18,"OK")=1,MAX($T$1:$T17)+1,""))</f>
        <v/>
      </c>
    </row>
    <row r="19">
      <c r="A19" s="11" t="n"/>
      <c r="B19" s="11" t="n"/>
      <c r="C19" s="11" t="n"/>
      <c r="D19" s="11" t="n"/>
      <c r="E19" s="11" t="n"/>
      <c r="F19" s="10">
        <f>IF(AND($A19="",$B19="",$C19=""),"",IF($A19="","⚠ Falta hito",IF(ISNA(MATCH($C19,Cat_Nombre,0)),"⚠ Categoría inválida","OK")))</f>
        <v/>
      </c>
      <c r="G19" s="16">
        <f>IF($F19&lt;&gt;"OK","",IF(UPPER(TRIM($D19))="NO",INDEX(Cat_HMax,MATCH($C19,Cat_Nombre,0)),INDEX(Cat_HMin,MATCH($C19,Cat_Nombre,0))))</f>
        <v/>
      </c>
      <c r="H19" s="16">
        <f>IF($F19&lt;&gt;"OK","",INDEX(Cat_HMax,MATCH($C19,Cat_Nombre,0)))</f>
        <v/>
      </c>
      <c r="I19" s="16">
        <f>IF($F19&lt;&gt;"OK","",(G19+H19)/2)</f>
        <v/>
      </c>
      <c r="J19" s="16">
        <f>IF($F19&lt;&gt;"OK","",G19/HorasDia)</f>
        <v/>
      </c>
      <c r="K19" s="16">
        <f>IF($F19&lt;&gt;"OK","",I19/HorasDia)</f>
        <v/>
      </c>
      <c r="L19" s="16">
        <f>IF($F19&lt;&gt;"OK","",H19/HorasDia)</f>
        <v/>
      </c>
      <c r="M19" s="17">
        <f>IF($F19&lt;&gt;"OK","",IF(UPPER(TRIM($D19))="NO",INDEX(Cat_TMax,MATCH($C19,Cat_Nombre,0)),INDEX(Cat_TMin,MATCH($C19,Cat_Nombre,0))))</f>
        <v/>
      </c>
      <c r="N19" s="17">
        <f>IF($F19&lt;&gt;"OK","",INDEX(Cat_TMax,MATCH($C19,Cat_Nombre,0)))</f>
        <v/>
      </c>
      <c r="O19" s="18">
        <f>IF($F19&lt;&gt;"OK","",INDEX(Cat_POpus,MATCH($C19,Cat_Nombre,0)))</f>
        <v/>
      </c>
      <c r="P19" s="19">
        <f>IF($F19&lt;&gt;"OK","",M19/1000000*((1-O19)*UsdM_Sonnet+O19*UsdM_Opus))</f>
        <v/>
      </c>
      <c r="Q19" s="19">
        <f>IF($F19&lt;&gt;"OK","",N19/1000000*((1-O19)*UsdM_Sonnet+O19*UsdM_Opus))</f>
        <v/>
      </c>
      <c r="R19" s="19">
        <f>IF($F19&lt;&gt;"OK","",G19*TarifaHora)</f>
        <v/>
      </c>
      <c r="S19" s="19">
        <f>IF($F19&lt;&gt;"OK","",H19*TarifaHora)</f>
        <v/>
      </c>
      <c r="T19" s="10">
        <f>IF($F19&lt;&gt;"OK","",IF(COUNTIFS($A$2:$A19,$A19,$F$2:$F19,"OK")=1,MAX($T$1:$T18)+1,""))</f>
        <v/>
      </c>
    </row>
    <row r="20">
      <c r="A20" s="11" t="n"/>
      <c r="B20" s="11" t="n"/>
      <c r="C20" s="11" t="n"/>
      <c r="D20" s="11" t="n"/>
      <c r="E20" s="11" t="n"/>
      <c r="F20" s="10">
        <f>IF(AND($A20="",$B20="",$C20=""),"",IF($A20="","⚠ Falta hito",IF(ISNA(MATCH($C20,Cat_Nombre,0)),"⚠ Categoría inválida","OK")))</f>
        <v/>
      </c>
      <c r="G20" s="16">
        <f>IF($F20&lt;&gt;"OK","",IF(UPPER(TRIM($D20))="NO",INDEX(Cat_HMax,MATCH($C20,Cat_Nombre,0)),INDEX(Cat_HMin,MATCH($C20,Cat_Nombre,0))))</f>
        <v/>
      </c>
      <c r="H20" s="16">
        <f>IF($F20&lt;&gt;"OK","",INDEX(Cat_HMax,MATCH($C20,Cat_Nombre,0)))</f>
        <v/>
      </c>
      <c r="I20" s="16">
        <f>IF($F20&lt;&gt;"OK","",(G20+H20)/2)</f>
        <v/>
      </c>
      <c r="J20" s="16">
        <f>IF($F20&lt;&gt;"OK","",G20/HorasDia)</f>
        <v/>
      </c>
      <c r="K20" s="16">
        <f>IF($F20&lt;&gt;"OK","",I20/HorasDia)</f>
        <v/>
      </c>
      <c r="L20" s="16">
        <f>IF($F20&lt;&gt;"OK","",H20/HorasDia)</f>
        <v/>
      </c>
      <c r="M20" s="17">
        <f>IF($F20&lt;&gt;"OK","",IF(UPPER(TRIM($D20))="NO",INDEX(Cat_TMax,MATCH($C20,Cat_Nombre,0)),INDEX(Cat_TMin,MATCH($C20,Cat_Nombre,0))))</f>
        <v/>
      </c>
      <c r="N20" s="17">
        <f>IF($F20&lt;&gt;"OK","",INDEX(Cat_TMax,MATCH($C20,Cat_Nombre,0)))</f>
        <v/>
      </c>
      <c r="O20" s="18">
        <f>IF($F20&lt;&gt;"OK","",INDEX(Cat_POpus,MATCH($C20,Cat_Nombre,0)))</f>
        <v/>
      </c>
      <c r="P20" s="19">
        <f>IF($F20&lt;&gt;"OK","",M20/1000000*((1-O20)*UsdM_Sonnet+O20*UsdM_Opus))</f>
        <v/>
      </c>
      <c r="Q20" s="19">
        <f>IF($F20&lt;&gt;"OK","",N20/1000000*((1-O20)*UsdM_Sonnet+O20*UsdM_Opus))</f>
        <v/>
      </c>
      <c r="R20" s="19">
        <f>IF($F20&lt;&gt;"OK","",G20*TarifaHora)</f>
        <v/>
      </c>
      <c r="S20" s="19">
        <f>IF($F20&lt;&gt;"OK","",H20*TarifaHora)</f>
        <v/>
      </c>
      <c r="T20" s="10">
        <f>IF($F20&lt;&gt;"OK","",IF(COUNTIFS($A$2:$A20,$A20,$F$2:$F20,"OK")=1,MAX($T$1:$T19)+1,""))</f>
        <v/>
      </c>
    </row>
    <row r="21">
      <c r="A21" s="11" t="n"/>
      <c r="B21" s="11" t="n"/>
      <c r="C21" s="11" t="n"/>
      <c r="D21" s="11" t="n"/>
      <c r="E21" s="11" t="n"/>
      <c r="F21" s="10">
        <f>IF(AND($A21="",$B21="",$C21=""),"",IF($A21="","⚠ Falta hito",IF(ISNA(MATCH($C21,Cat_Nombre,0)),"⚠ Categoría inválida","OK")))</f>
        <v/>
      </c>
      <c r="G21" s="16">
        <f>IF($F21&lt;&gt;"OK","",IF(UPPER(TRIM($D21))="NO",INDEX(Cat_HMax,MATCH($C21,Cat_Nombre,0)),INDEX(Cat_HMin,MATCH($C21,Cat_Nombre,0))))</f>
        <v/>
      </c>
      <c r="H21" s="16">
        <f>IF($F21&lt;&gt;"OK","",INDEX(Cat_HMax,MATCH($C21,Cat_Nombre,0)))</f>
        <v/>
      </c>
      <c r="I21" s="16">
        <f>IF($F21&lt;&gt;"OK","",(G21+H21)/2)</f>
        <v/>
      </c>
      <c r="J21" s="16">
        <f>IF($F21&lt;&gt;"OK","",G21/HorasDia)</f>
        <v/>
      </c>
      <c r="K21" s="16">
        <f>IF($F21&lt;&gt;"OK","",I21/HorasDia)</f>
        <v/>
      </c>
      <c r="L21" s="16">
        <f>IF($F21&lt;&gt;"OK","",H21/HorasDia)</f>
        <v/>
      </c>
      <c r="M21" s="17">
        <f>IF($F21&lt;&gt;"OK","",IF(UPPER(TRIM($D21))="NO",INDEX(Cat_TMax,MATCH($C21,Cat_Nombre,0)),INDEX(Cat_TMin,MATCH($C21,Cat_Nombre,0))))</f>
        <v/>
      </c>
      <c r="N21" s="17">
        <f>IF($F21&lt;&gt;"OK","",INDEX(Cat_TMax,MATCH($C21,Cat_Nombre,0)))</f>
        <v/>
      </c>
      <c r="O21" s="18">
        <f>IF($F21&lt;&gt;"OK","",INDEX(Cat_POpus,MATCH($C21,Cat_Nombre,0)))</f>
        <v/>
      </c>
      <c r="P21" s="19">
        <f>IF($F21&lt;&gt;"OK","",M21/1000000*((1-O21)*UsdM_Sonnet+O21*UsdM_Opus))</f>
        <v/>
      </c>
      <c r="Q21" s="19">
        <f>IF($F21&lt;&gt;"OK","",N21/1000000*((1-O21)*UsdM_Sonnet+O21*UsdM_Opus))</f>
        <v/>
      </c>
      <c r="R21" s="19">
        <f>IF($F21&lt;&gt;"OK","",G21*TarifaHora)</f>
        <v/>
      </c>
      <c r="S21" s="19">
        <f>IF($F21&lt;&gt;"OK","",H21*TarifaHora)</f>
        <v/>
      </c>
      <c r="T21" s="10">
        <f>IF($F21&lt;&gt;"OK","",IF(COUNTIFS($A$2:$A21,$A21,$F$2:$F21,"OK")=1,MAX($T$1:$T20)+1,""))</f>
        <v/>
      </c>
    </row>
    <row r="22">
      <c r="A22" s="11" t="n"/>
      <c r="B22" s="11" t="n"/>
      <c r="C22" s="11" t="n"/>
      <c r="D22" s="11" t="n"/>
      <c r="E22" s="11" t="n"/>
      <c r="F22" s="10">
        <f>IF(AND($A22="",$B22="",$C22=""),"",IF($A22="","⚠ Falta hito",IF(ISNA(MATCH($C22,Cat_Nombre,0)),"⚠ Categoría inválida","OK")))</f>
        <v/>
      </c>
      <c r="G22" s="16">
        <f>IF($F22&lt;&gt;"OK","",IF(UPPER(TRIM($D22))="NO",INDEX(Cat_HMax,MATCH($C22,Cat_Nombre,0)),INDEX(Cat_HMin,MATCH($C22,Cat_Nombre,0))))</f>
        <v/>
      </c>
      <c r="H22" s="16">
        <f>IF($F22&lt;&gt;"OK","",INDEX(Cat_HMax,MATCH($C22,Cat_Nombre,0)))</f>
        <v/>
      </c>
      <c r="I22" s="16">
        <f>IF($F22&lt;&gt;"OK","",(G22+H22)/2)</f>
        <v/>
      </c>
      <c r="J22" s="16">
        <f>IF($F22&lt;&gt;"OK","",G22/HorasDia)</f>
        <v/>
      </c>
      <c r="K22" s="16">
        <f>IF($F22&lt;&gt;"OK","",I22/HorasDia)</f>
        <v/>
      </c>
      <c r="L22" s="16">
        <f>IF($F22&lt;&gt;"OK","",H22/HorasDia)</f>
        <v/>
      </c>
      <c r="M22" s="17">
        <f>IF($F22&lt;&gt;"OK","",IF(UPPER(TRIM($D22))="NO",INDEX(Cat_TMax,MATCH($C22,Cat_Nombre,0)),INDEX(Cat_TMin,MATCH($C22,Cat_Nombre,0))))</f>
        <v/>
      </c>
      <c r="N22" s="17">
        <f>IF($F22&lt;&gt;"OK","",INDEX(Cat_TMax,MATCH($C22,Cat_Nombre,0)))</f>
        <v/>
      </c>
      <c r="O22" s="18">
        <f>IF($F22&lt;&gt;"OK","",INDEX(Cat_POpus,MATCH($C22,Cat_Nombre,0)))</f>
        <v/>
      </c>
      <c r="P22" s="19">
        <f>IF($F22&lt;&gt;"OK","",M22/1000000*((1-O22)*UsdM_Sonnet+O22*UsdM_Opus))</f>
        <v/>
      </c>
      <c r="Q22" s="19">
        <f>IF($F22&lt;&gt;"OK","",N22/1000000*((1-O22)*UsdM_Sonnet+O22*UsdM_Opus))</f>
        <v/>
      </c>
      <c r="R22" s="19">
        <f>IF($F22&lt;&gt;"OK","",G22*TarifaHora)</f>
        <v/>
      </c>
      <c r="S22" s="19">
        <f>IF($F22&lt;&gt;"OK","",H22*TarifaHora)</f>
        <v/>
      </c>
      <c r="T22" s="10">
        <f>IF($F22&lt;&gt;"OK","",IF(COUNTIFS($A$2:$A22,$A22,$F$2:$F22,"OK")=1,MAX($T$1:$T21)+1,""))</f>
        <v/>
      </c>
    </row>
    <row r="23">
      <c r="A23" s="11" t="n"/>
      <c r="B23" s="11" t="n"/>
      <c r="C23" s="11" t="n"/>
      <c r="D23" s="11" t="n"/>
      <c r="E23" s="11" t="n"/>
      <c r="F23" s="10">
        <f>IF(AND($A23="",$B23="",$C23=""),"",IF($A23="","⚠ Falta hito",IF(ISNA(MATCH($C23,Cat_Nombre,0)),"⚠ Categoría inválida","OK")))</f>
        <v/>
      </c>
      <c r="G23" s="16">
        <f>IF($F23&lt;&gt;"OK","",IF(UPPER(TRIM($D23))="NO",INDEX(Cat_HMax,MATCH($C23,Cat_Nombre,0)),INDEX(Cat_HMin,MATCH($C23,Cat_Nombre,0))))</f>
        <v/>
      </c>
      <c r="H23" s="16">
        <f>IF($F23&lt;&gt;"OK","",INDEX(Cat_HMax,MATCH($C23,Cat_Nombre,0)))</f>
        <v/>
      </c>
      <c r="I23" s="16">
        <f>IF($F23&lt;&gt;"OK","",(G23+H23)/2)</f>
        <v/>
      </c>
      <c r="J23" s="16">
        <f>IF($F23&lt;&gt;"OK","",G23/HorasDia)</f>
        <v/>
      </c>
      <c r="K23" s="16">
        <f>IF($F23&lt;&gt;"OK","",I23/HorasDia)</f>
        <v/>
      </c>
      <c r="L23" s="16">
        <f>IF($F23&lt;&gt;"OK","",H23/HorasDia)</f>
        <v/>
      </c>
      <c r="M23" s="17">
        <f>IF($F23&lt;&gt;"OK","",IF(UPPER(TRIM($D23))="NO",INDEX(Cat_TMax,MATCH($C23,Cat_Nombre,0)),INDEX(Cat_TMin,MATCH($C23,Cat_Nombre,0))))</f>
        <v/>
      </c>
      <c r="N23" s="17">
        <f>IF($F23&lt;&gt;"OK","",INDEX(Cat_TMax,MATCH($C23,Cat_Nombre,0)))</f>
        <v/>
      </c>
      <c r="O23" s="18">
        <f>IF($F23&lt;&gt;"OK","",INDEX(Cat_POpus,MATCH($C23,Cat_Nombre,0)))</f>
        <v/>
      </c>
      <c r="P23" s="19">
        <f>IF($F23&lt;&gt;"OK","",M23/1000000*((1-O23)*UsdM_Sonnet+O23*UsdM_Opus))</f>
        <v/>
      </c>
      <c r="Q23" s="19">
        <f>IF($F23&lt;&gt;"OK","",N23/1000000*((1-O23)*UsdM_Sonnet+O23*UsdM_Opus))</f>
        <v/>
      </c>
      <c r="R23" s="19">
        <f>IF($F23&lt;&gt;"OK","",G23*TarifaHora)</f>
        <v/>
      </c>
      <c r="S23" s="19">
        <f>IF($F23&lt;&gt;"OK","",H23*TarifaHora)</f>
        <v/>
      </c>
      <c r="T23" s="10">
        <f>IF($F23&lt;&gt;"OK","",IF(COUNTIFS($A$2:$A23,$A23,$F$2:$F23,"OK")=1,MAX($T$1:$T22)+1,""))</f>
        <v/>
      </c>
    </row>
    <row r="24">
      <c r="A24" s="11" t="n"/>
      <c r="B24" s="11" t="n"/>
      <c r="C24" s="11" t="n"/>
      <c r="D24" s="11" t="n"/>
      <c r="E24" s="11" t="n"/>
      <c r="F24" s="10">
        <f>IF(AND($A24="",$B24="",$C24=""),"",IF($A24="","⚠ Falta hito",IF(ISNA(MATCH($C24,Cat_Nombre,0)),"⚠ Categoría inválida","OK")))</f>
        <v/>
      </c>
      <c r="G24" s="16">
        <f>IF($F24&lt;&gt;"OK","",IF(UPPER(TRIM($D24))="NO",INDEX(Cat_HMax,MATCH($C24,Cat_Nombre,0)),INDEX(Cat_HMin,MATCH($C24,Cat_Nombre,0))))</f>
        <v/>
      </c>
      <c r="H24" s="16">
        <f>IF($F24&lt;&gt;"OK","",INDEX(Cat_HMax,MATCH($C24,Cat_Nombre,0)))</f>
        <v/>
      </c>
      <c r="I24" s="16">
        <f>IF($F24&lt;&gt;"OK","",(G24+H24)/2)</f>
        <v/>
      </c>
      <c r="J24" s="16">
        <f>IF($F24&lt;&gt;"OK","",G24/HorasDia)</f>
        <v/>
      </c>
      <c r="K24" s="16">
        <f>IF($F24&lt;&gt;"OK","",I24/HorasDia)</f>
        <v/>
      </c>
      <c r="L24" s="16">
        <f>IF($F24&lt;&gt;"OK","",H24/HorasDia)</f>
        <v/>
      </c>
      <c r="M24" s="17">
        <f>IF($F24&lt;&gt;"OK","",IF(UPPER(TRIM($D24))="NO",INDEX(Cat_TMax,MATCH($C24,Cat_Nombre,0)),INDEX(Cat_TMin,MATCH($C24,Cat_Nombre,0))))</f>
        <v/>
      </c>
      <c r="N24" s="17">
        <f>IF($F24&lt;&gt;"OK","",INDEX(Cat_TMax,MATCH($C24,Cat_Nombre,0)))</f>
        <v/>
      </c>
      <c r="O24" s="18">
        <f>IF($F24&lt;&gt;"OK","",INDEX(Cat_POpus,MATCH($C24,Cat_Nombre,0)))</f>
        <v/>
      </c>
      <c r="P24" s="19">
        <f>IF($F24&lt;&gt;"OK","",M24/1000000*((1-O24)*UsdM_Sonnet+O24*UsdM_Opus))</f>
        <v/>
      </c>
      <c r="Q24" s="19">
        <f>IF($F24&lt;&gt;"OK","",N24/1000000*((1-O24)*UsdM_Sonnet+O24*UsdM_Opus))</f>
        <v/>
      </c>
      <c r="R24" s="19">
        <f>IF($F24&lt;&gt;"OK","",G24*TarifaHora)</f>
        <v/>
      </c>
      <c r="S24" s="19">
        <f>IF($F24&lt;&gt;"OK","",H24*TarifaHora)</f>
        <v/>
      </c>
      <c r="T24" s="10">
        <f>IF($F24&lt;&gt;"OK","",IF(COUNTIFS($A$2:$A24,$A24,$F$2:$F24,"OK")=1,MAX($T$1:$T23)+1,""))</f>
        <v/>
      </c>
    </row>
    <row r="25">
      <c r="A25" s="11" t="n"/>
      <c r="B25" s="11" t="n"/>
      <c r="C25" s="11" t="n"/>
      <c r="D25" s="11" t="n"/>
      <c r="E25" s="11" t="n"/>
      <c r="F25" s="10">
        <f>IF(AND($A25="",$B25="",$C25=""),"",IF($A25="","⚠ Falta hito",IF(ISNA(MATCH($C25,Cat_Nombre,0)),"⚠ Categoría inválida","OK")))</f>
        <v/>
      </c>
      <c r="G25" s="16">
        <f>IF($F25&lt;&gt;"OK","",IF(UPPER(TRIM($D25))="NO",INDEX(Cat_HMax,MATCH($C25,Cat_Nombre,0)),INDEX(Cat_HMin,MATCH($C25,Cat_Nombre,0))))</f>
        <v/>
      </c>
      <c r="H25" s="16">
        <f>IF($F25&lt;&gt;"OK","",INDEX(Cat_HMax,MATCH($C25,Cat_Nombre,0)))</f>
        <v/>
      </c>
      <c r="I25" s="16">
        <f>IF($F25&lt;&gt;"OK","",(G25+H25)/2)</f>
        <v/>
      </c>
      <c r="J25" s="16">
        <f>IF($F25&lt;&gt;"OK","",G25/HorasDia)</f>
        <v/>
      </c>
      <c r="K25" s="16">
        <f>IF($F25&lt;&gt;"OK","",I25/HorasDia)</f>
        <v/>
      </c>
      <c r="L25" s="16">
        <f>IF($F25&lt;&gt;"OK","",H25/HorasDia)</f>
        <v/>
      </c>
      <c r="M25" s="17">
        <f>IF($F25&lt;&gt;"OK","",IF(UPPER(TRIM($D25))="NO",INDEX(Cat_TMax,MATCH($C25,Cat_Nombre,0)),INDEX(Cat_TMin,MATCH($C25,Cat_Nombre,0))))</f>
        <v/>
      </c>
      <c r="N25" s="17">
        <f>IF($F25&lt;&gt;"OK","",INDEX(Cat_TMax,MATCH($C25,Cat_Nombre,0)))</f>
        <v/>
      </c>
      <c r="O25" s="18">
        <f>IF($F25&lt;&gt;"OK","",INDEX(Cat_POpus,MATCH($C25,Cat_Nombre,0)))</f>
        <v/>
      </c>
      <c r="P25" s="19">
        <f>IF($F25&lt;&gt;"OK","",M25/1000000*((1-O25)*UsdM_Sonnet+O25*UsdM_Opus))</f>
        <v/>
      </c>
      <c r="Q25" s="19">
        <f>IF($F25&lt;&gt;"OK","",N25/1000000*((1-O25)*UsdM_Sonnet+O25*UsdM_Opus))</f>
        <v/>
      </c>
      <c r="R25" s="19">
        <f>IF($F25&lt;&gt;"OK","",G25*TarifaHora)</f>
        <v/>
      </c>
      <c r="S25" s="19">
        <f>IF($F25&lt;&gt;"OK","",H25*TarifaHora)</f>
        <v/>
      </c>
      <c r="T25" s="10">
        <f>IF($F25&lt;&gt;"OK","",IF(COUNTIFS($A$2:$A25,$A25,$F$2:$F25,"OK")=1,MAX($T$1:$T24)+1,""))</f>
        <v/>
      </c>
    </row>
    <row r="26">
      <c r="A26" s="11" t="n"/>
      <c r="B26" s="11" t="n"/>
      <c r="C26" s="11" t="n"/>
      <c r="D26" s="11" t="n"/>
      <c r="E26" s="11" t="n"/>
      <c r="F26" s="10">
        <f>IF(AND($A26="",$B26="",$C26=""),"",IF($A26="","⚠ Falta hito",IF(ISNA(MATCH($C26,Cat_Nombre,0)),"⚠ Categoría inválida","OK")))</f>
        <v/>
      </c>
      <c r="G26" s="16">
        <f>IF($F26&lt;&gt;"OK","",IF(UPPER(TRIM($D26))="NO",INDEX(Cat_HMax,MATCH($C26,Cat_Nombre,0)),INDEX(Cat_HMin,MATCH($C26,Cat_Nombre,0))))</f>
        <v/>
      </c>
      <c r="H26" s="16">
        <f>IF($F26&lt;&gt;"OK","",INDEX(Cat_HMax,MATCH($C26,Cat_Nombre,0)))</f>
        <v/>
      </c>
      <c r="I26" s="16">
        <f>IF($F26&lt;&gt;"OK","",(G26+H26)/2)</f>
        <v/>
      </c>
      <c r="J26" s="16">
        <f>IF($F26&lt;&gt;"OK","",G26/HorasDia)</f>
        <v/>
      </c>
      <c r="K26" s="16">
        <f>IF($F26&lt;&gt;"OK","",I26/HorasDia)</f>
        <v/>
      </c>
      <c r="L26" s="16">
        <f>IF($F26&lt;&gt;"OK","",H26/HorasDia)</f>
        <v/>
      </c>
      <c r="M26" s="17">
        <f>IF($F26&lt;&gt;"OK","",IF(UPPER(TRIM($D26))="NO",INDEX(Cat_TMax,MATCH($C26,Cat_Nombre,0)),INDEX(Cat_TMin,MATCH($C26,Cat_Nombre,0))))</f>
        <v/>
      </c>
      <c r="N26" s="17">
        <f>IF($F26&lt;&gt;"OK","",INDEX(Cat_TMax,MATCH($C26,Cat_Nombre,0)))</f>
        <v/>
      </c>
      <c r="O26" s="18">
        <f>IF($F26&lt;&gt;"OK","",INDEX(Cat_POpus,MATCH($C26,Cat_Nombre,0)))</f>
        <v/>
      </c>
      <c r="P26" s="19">
        <f>IF($F26&lt;&gt;"OK","",M26/1000000*((1-O26)*UsdM_Sonnet+O26*UsdM_Opus))</f>
        <v/>
      </c>
      <c r="Q26" s="19">
        <f>IF($F26&lt;&gt;"OK","",N26/1000000*((1-O26)*UsdM_Sonnet+O26*UsdM_Opus))</f>
        <v/>
      </c>
      <c r="R26" s="19">
        <f>IF($F26&lt;&gt;"OK","",G26*TarifaHora)</f>
        <v/>
      </c>
      <c r="S26" s="19">
        <f>IF($F26&lt;&gt;"OK","",H26*TarifaHora)</f>
        <v/>
      </c>
      <c r="T26" s="10">
        <f>IF($F26&lt;&gt;"OK","",IF(COUNTIFS($A$2:$A26,$A26,$F$2:$F26,"OK")=1,MAX($T$1:$T25)+1,""))</f>
        <v/>
      </c>
    </row>
    <row r="27">
      <c r="A27" s="11" t="n"/>
      <c r="B27" s="11" t="n"/>
      <c r="C27" s="11" t="n"/>
      <c r="D27" s="11" t="n"/>
      <c r="E27" s="11" t="n"/>
      <c r="F27" s="10">
        <f>IF(AND($A27="",$B27="",$C27=""),"",IF($A27="","⚠ Falta hito",IF(ISNA(MATCH($C27,Cat_Nombre,0)),"⚠ Categoría inválida","OK")))</f>
        <v/>
      </c>
      <c r="G27" s="16">
        <f>IF($F27&lt;&gt;"OK","",IF(UPPER(TRIM($D27))="NO",INDEX(Cat_HMax,MATCH($C27,Cat_Nombre,0)),INDEX(Cat_HMin,MATCH($C27,Cat_Nombre,0))))</f>
        <v/>
      </c>
      <c r="H27" s="16">
        <f>IF($F27&lt;&gt;"OK","",INDEX(Cat_HMax,MATCH($C27,Cat_Nombre,0)))</f>
        <v/>
      </c>
      <c r="I27" s="16">
        <f>IF($F27&lt;&gt;"OK","",(G27+H27)/2)</f>
        <v/>
      </c>
      <c r="J27" s="16">
        <f>IF($F27&lt;&gt;"OK","",G27/HorasDia)</f>
        <v/>
      </c>
      <c r="K27" s="16">
        <f>IF($F27&lt;&gt;"OK","",I27/HorasDia)</f>
        <v/>
      </c>
      <c r="L27" s="16">
        <f>IF($F27&lt;&gt;"OK","",H27/HorasDia)</f>
        <v/>
      </c>
      <c r="M27" s="17">
        <f>IF($F27&lt;&gt;"OK","",IF(UPPER(TRIM($D27))="NO",INDEX(Cat_TMax,MATCH($C27,Cat_Nombre,0)),INDEX(Cat_TMin,MATCH($C27,Cat_Nombre,0))))</f>
        <v/>
      </c>
      <c r="N27" s="17">
        <f>IF($F27&lt;&gt;"OK","",INDEX(Cat_TMax,MATCH($C27,Cat_Nombre,0)))</f>
        <v/>
      </c>
      <c r="O27" s="18">
        <f>IF($F27&lt;&gt;"OK","",INDEX(Cat_POpus,MATCH($C27,Cat_Nombre,0)))</f>
        <v/>
      </c>
      <c r="P27" s="19">
        <f>IF($F27&lt;&gt;"OK","",M27/1000000*((1-O27)*UsdM_Sonnet+O27*UsdM_Opus))</f>
        <v/>
      </c>
      <c r="Q27" s="19">
        <f>IF($F27&lt;&gt;"OK","",N27/1000000*((1-O27)*UsdM_Sonnet+O27*UsdM_Opus))</f>
        <v/>
      </c>
      <c r="R27" s="19">
        <f>IF($F27&lt;&gt;"OK","",G27*TarifaHora)</f>
        <v/>
      </c>
      <c r="S27" s="19">
        <f>IF($F27&lt;&gt;"OK","",H27*TarifaHora)</f>
        <v/>
      </c>
      <c r="T27" s="10">
        <f>IF($F27&lt;&gt;"OK","",IF(COUNTIFS($A$2:$A27,$A27,$F$2:$F27,"OK")=1,MAX($T$1:$T26)+1,""))</f>
        <v/>
      </c>
    </row>
    <row r="28">
      <c r="A28" s="11" t="n"/>
      <c r="B28" s="11" t="n"/>
      <c r="C28" s="11" t="n"/>
      <c r="D28" s="11" t="n"/>
      <c r="E28" s="11" t="n"/>
      <c r="F28" s="10">
        <f>IF(AND($A28="",$B28="",$C28=""),"",IF($A28="","⚠ Falta hito",IF(ISNA(MATCH($C28,Cat_Nombre,0)),"⚠ Categoría inválida","OK")))</f>
        <v/>
      </c>
      <c r="G28" s="16">
        <f>IF($F28&lt;&gt;"OK","",IF(UPPER(TRIM($D28))="NO",INDEX(Cat_HMax,MATCH($C28,Cat_Nombre,0)),INDEX(Cat_HMin,MATCH($C28,Cat_Nombre,0))))</f>
        <v/>
      </c>
      <c r="H28" s="16">
        <f>IF($F28&lt;&gt;"OK","",INDEX(Cat_HMax,MATCH($C28,Cat_Nombre,0)))</f>
        <v/>
      </c>
      <c r="I28" s="16">
        <f>IF($F28&lt;&gt;"OK","",(G28+H28)/2)</f>
        <v/>
      </c>
      <c r="J28" s="16">
        <f>IF($F28&lt;&gt;"OK","",G28/HorasDia)</f>
        <v/>
      </c>
      <c r="K28" s="16">
        <f>IF($F28&lt;&gt;"OK","",I28/HorasDia)</f>
        <v/>
      </c>
      <c r="L28" s="16">
        <f>IF($F28&lt;&gt;"OK","",H28/HorasDia)</f>
        <v/>
      </c>
      <c r="M28" s="17">
        <f>IF($F28&lt;&gt;"OK","",IF(UPPER(TRIM($D28))="NO",INDEX(Cat_TMax,MATCH($C28,Cat_Nombre,0)),INDEX(Cat_TMin,MATCH($C28,Cat_Nombre,0))))</f>
        <v/>
      </c>
      <c r="N28" s="17">
        <f>IF($F28&lt;&gt;"OK","",INDEX(Cat_TMax,MATCH($C28,Cat_Nombre,0)))</f>
        <v/>
      </c>
      <c r="O28" s="18">
        <f>IF($F28&lt;&gt;"OK","",INDEX(Cat_POpus,MATCH($C28,Cat_Nombre,0)))</f>
        <v/>
      </c>
      <c r="P28" s="19">
        <f>IF($F28&lt;&gt;"OK","",M28/1000000*((1-O28)*UsdM_Sonnet+O28*UsdM_Opus))</f>
        <v/>
      </c>
      <c r="Q28" s="19">
        <f>IF($F28&lt;&gt;"OK","",N28/1000000*((1-O28)*UsdM_Sonnet+O28*UsdM_Opus))</f>
        <v/>
      </c>
      <c r="R28" s="19">
        <f>IF($F28&lt;&gt;"OK","",G28*TarifaHora)</f>
        <v/>
      </c>
      <c r="S28" s="19">
        <f>IF($F28&lt;&gt;"OK","",H28*TarifaHora)</f>
        <v/>
      </c>
      <c r="T28" s="10">
        <f>IF($F28&lt;&gt;"OK","",IF(COUNTIFS($A$2:$A28,$A28,$F$2:$F28,"OK")=1,MAX($T$1:$T27)+1,""))</f>
        <v/>
      </c>
    </row>
    <row r="29">
      <c r="A29" s="11" t="n"/>
      <c r="B29" s="11" t="n"/>
      <c r="C29" s="11" t="n"/>
      <c r="D29" s="11" t="n"/>
      <c r="E29" s="11" t="n"/>
      <c r="F29" s="10">
        <f>IF(AND($A29="",$B29="",$C29=""),"",IF($A29="","⚠ Falta hito",IF(ISNA(MATCH($C29,Cat_Nombre,0)),"⚠ Categoría inválida","OK")))</f>
        <v/>
      </c>
      <c r="G29" s="16">
        <f>IF($F29&lt;&gt;"OK","",IF(UPPER(TRIM($D29))="NO",INDEX(Cat_HMax,MATCH($C29,Cat_Nombre,0)),INDEX(Cat_HMin,MATCH($C29,Cat_Nombre,0))))</f>
        <v/>
      </c>
      <c r="H29" s="16">
        <f>IF($F29&lt;&gt;"OK","",INDEX(Cat_HMax,MATCH($C29,Cat_Nombre,0)))</f>
        <v/>
      </c>
      <c r="I29" s="16">
        <f>IF($F29&lt;&gt;"OK","",(G29+H29)/2)</f>
        <v/>
      </c>
      <c r="J29" s="16">
        <f>IF($F29&lt;&gt;"OK","",G29/HorasDia)</f>
        <v/>
      </c>
      <c r="K29" s="16">
        <f>IF($F29&lt;&gt;"OK","",I29/HorasDia)</f>
        <v/>
      </c>
      <c r="L29" s="16">
        <f>IF($F29&lt;&gt;"OK","",H29/HorasDia)</f>
        <v/>
      </c>
      <c r="M29" s="17">
        <f>IF($F29&lt;&gt;"OK","",IF(UPPER(TRIM($D29))="NO",INDEX(Cat_TMax,MATCH($C29,Cat_Nombre,0)),INDEX(Cat_TMin,MATCH($C29,Cat_Nombre,0))))</f>
        <v/>
      </c>
      <c r="N29" s="17">
        <f>IF($F29&lt;&gt;"OK","",INDEX(Cat_TMax,MATCH($C29,Cat_Nombre,0)))</f>
        <v/>
      </c>
      <c r="O29" s="18">
        <f>IF($F29&lt;&gt;"OK","",INDEX(Cat_POpus,MATCH($C29,Cat_Nombre,0)))</f>
        <v/>
      </c>
      <c r="P29" s="19">
        <f>IF($F29&lt;&gt;"OK","",M29/1000000*((1-O29)*UsdM_Sonnet+O29*UsdM_Opus))</f>
        <v/>
      </c>
      <c r="Q29" s="19">
        <f>IF($F29&lt;&gt;"OK","",N29/1000000*((1-O29)*UsdM_Sonnet+O29*UsdM_Opus))</f>
        <v/>
      </c>
      <c r="R29" s="19">
        <f>IF($F29&lt;&gt;"OK","",G29*TarifaHora)</f>
        <v/>
      </c>
      <c r="S29" s="19">
        <f>IF($F29&lt;&gt;"OK","",H29*TarifaHora)</f>
        <v/>
      </c>
      <c r="T29" s="10">
        <f>IF($F29&lt;&gt;"OK","",IF(COUNTIFS($A$2:$A29,$A29,$F$2:$F29,"OK")=1,MAX($T$1:$T28)+1,""))</f>
        <v/>
      </c>
    </row>
    <row r="30">
      <c r="A30" s="11" t="n"/>
      <c r="B30" s="11" t="n"/>
      <c r="C30" s="11" t="n"/>
      <c r="D30" s="11" t="n"/>
      <c r="E30" s="11" t="n"/>
      <c r="F30" s="10">
        <f>IF(AND($A30="",$B30="",$C30=""),"",IF($A30="","⚠ Falta hito",IF(ISNA(MATCH($C30,Cat_Nombre,0)),"⚠ Categoría inválida","OK")))</f>
        <v/>
      </c>
      <c r="G30" s="16">
        <f>IF($F30&lt;&gt;"OK","",IF(UPPER(TRIM($D30))="NO",INDEX(Cat_HMax,MATCH($C30,Cat_Nombre,0)),INDEX(Cat_HMin,MATCH($C30,Cat_Nombre,0))))</f>
        <v/>
      </c>
      <c r="H30" s="16">
        <f>IF($F30&lt;&gt;"OK","",INDEX(Cat_HMax,MATCH($C30,Cat_Nombre,0)))</f>
        <v/>
      </c>
      <c r="I30" s="16">
        <f>IF($F30&lt;&gt;"OK","",(G30+H30)/2)</f>
        <v/>
      </c>
      <c r="J30" s="16">
        <f>IF($F30&lt;&gt;"OK","",G30/HorasDia)</f>
        <v/>
      </c>
      <c r="K30" s="16">
        <f>IF($F30&lt;&gt;"OK","",I30/HorasDia)</f>
        <v/>
      </c>
      <c r="L30" s="16">
        <f>IF($F30&lt;&gt;"OK","",H30/HorasDia)</f>
        <v/>
      </c>
      <c r="M30" s="17">
        <f>IF($F30&lt;&gt;"OK","",IF(UPPER(TRIM($D30))="NO",INDEX(Cat_TMax,MATCH($C30,Cat_Nombre,0)),INDEX(Cat_TMin,MATCH($C30,Cat_Nombre,0))))</f>
        <v/>
      </c>
      <c r="N30" s="17">
        <f>IF($F30&lt;&gt;"OK","",INDEX(Cat_TMax,MATCH($C30,Cat_Nombre,0)))</f>
        <v/>
      </c>
      <c r="O30" s="18">
        <f>IF($F30&lt;&gt;"OK","",INDEX(Cat_POpus,MATCH($C30,Cat_Nombre,0)))</f>
        <v/>
      </c>
      <c r="P30" s="19">
        <f>IF($F30&lt;&gt;"OK","",M30/1000000*((1-O30)*UsdM_Sonnet+O30*UsdM_Opus))</f>
        <v/>
      </c>
      <c r="Q30" s="19">
        <f>IF($F30&lt;&gt;"OK","",N30/1000000*((1-O30)*UsdM_Sonnet+O30*UsdM_Opus))</f>
        <v/>
      </c>
      <c r="R30" s="19">
        <f>IF($F30&lt;&gt;"OK","",G30*TarifaHora)</f>
        <v/>
      </c>
      <c r="S30" s="19">
        <f>IF($F30&lt;&gt;"OK","",H30*TarifaHora)</f>
        <v/>
      </c>
      <c r="T30" s="10">
        <f>IF($F30&lt;&gt;"OK","",IF(COUNTIFS($A$2:$A30,$A30,$F$2:$F30,"OK")=1,MAX($T$1:$T29)+1,""))</f>
        <v/>
      </c>
    </row>
    <row r="31">
      <c r="A31" s="11" t="n"/>
      <c r="B31" s="11" t="n"/>
      <c r="C31" s="11" t="n"/>
      <c r="D31" s="11" t="n"/>
      <c r="E31" s="11" t="n"/>
      <c r="F31" s="10">
        <f>IF(AND($A31="",$B31="",$C31=""),"",IF($A31="","⚠ Falta hito",IF(ISNA(MATCH($C31,Cat_Nombre,0)),"⚠ Categoría inválida","OK")))</f>
        <v/>
      </c>
      <c r="G31" s="16">
        <f>IF($F31&lt;&gt;"OK","",IF(UPPER(TRIM($D31))="NO",INDEX(Cat_HMax,MATCH($C31,Cat_Nombre,0)),INDEX(Cat_HMin,MATCH($C31,Cat_Nombre,0))))</f>
        <v/>
      </c>
      <c r="H31" s="16">
        <f>IF($F31&lt;&gt;"OK","",INDEX(Cat_HMax,MATCH($C31,Cat_Nombre,0)))</f>
        <v/>
      </c>
      <c r="I31" s="16">
        <f>IF($F31&lt;&gt;"OK","",(G31+H31)/2)</f>
        <v/>
      </c>
      <c r="J31" s="16">
        <f>IF($F31&lt;&gt;"OK","",G31/HorasDia)</f>
        <v/>
      </c>
      <c r="K31" s="16">
        <f>IF($F31&lt;&gt;"OK","",I31/HorasDia)</f>
        <v/>
      </c>
      <c r="L31" s="16">
        <f>IF($F31&lt;&gt;"OK","",H31/HorasDia)</f>
        <v/>
      </c>
      <c r="M31" s="17">
        <f>IF($F31&lt;&gt;"OK","",IF(UPPER(TRIM($D31))="NO",INDEX(Cat_TMax,MATCH($C31,Cat_Nombre,0)),INDEX(Cat_TMin,MATCH($C31,Cat_Nombre,0))))</f>
        <v/>
      </c>
      <c r="N31" s="17">
        <f>IF($F31&lt;&gt;"OK","",INDEX(Cat_TMax,MATCH($C31,Cat_Nombre,0)))</f>
        <v/>
      </c>
      <c r="O31" s="18">
        <f>IF($F31&lt;&gt;"OK","",INDEX(Cat_POpus,MATCH($C31,Cat_Nombre,0)))</f>
        <v/>
      </c>
      <c r="P31" s="19">
        <f>IF($F31&lt;&gt;"OK","",M31/1000000*((1-O31)*UsdM_Sonnet+O31*UsdM_Opus))</f>
        <v/>
      </c>
      <c r="Q31" s="19">
        <f>IF($F31&lt;&gt;"OK","",N31/1000000*((1-O31)*UsdM_Sonnet+O31*UsdM_Opus))</f>
        <v/>
      </c>
      <c r="R31" s="19">
        <f>IF($F31&lt;&gt;"OK","",G31*TarifaHora)</f>
        <v/>
      </c>
      <c r="S31" s="19">
        <f>IF($F31&lt;&gt;"OK","",H31*TarifaHora)</f>
        <v/>
      </c>
      <c r="T31" s="10">
        <f>IF($F31&lt;&gt;"OK","",IF(COUNTIFS($A$2:$A31,$A31,$F$2:$F31,"OK")=1,MAX($T$1:$T30)+1,""))</f>
        <v/>
      </c>
    </row>
    <row r="32">
      <c r="A32" s="11" t="n"/>
      <c r="B32" s="11" t="n"/>
      <c r="C32" s="11" t="n"/>
      <c r="D32" s="11" t="n"/>
      <c r="E32" s="11" t="n"/>
      <c r="F32" s="10">
        <f>IF(AND($A32="",$B32="",$C32=""),"",IF($A32="","⚠ Falta hito",IF(ISNA(MATCH($C32,Cat_Nombre,0)),"⚠ Categoría inválida","OK")))</f>
        <v/>
      </c>
      <c r="G32" s="16">
        <f>IF($F32&lt;&gt;"OK","",IF(UPPER(TRIM($D32))="NO",INDEX(Cat_HMax,MATCH($C32,Cat_Nombre,0)),INDEX(Cat_HMin,MATCH($C32,Cat_Nombre,0))))</f>
        <v/>
      </c>
      <c r="H32" s="16">
        <f>IF($F32&lt;&gt;"OK","",INDEX(Cat_HMax,MATCH($C32,Cat_Nombre,0)))</f>
        <v/>
      </c>
      <c r="I32" s="16">
        <f>IF($F32&lt;&gt;"OK","",(G32+H32)/2)</f>
        <v/>
      </c>
      <c r="J32" s="16">
        <f>IF($F32&lt;&gt;"OK","",G32/HorasDia)</f>
        <v/>
      </c>
      <c r="K32" s="16">
        <f>IF($F32&lt;&gt;"OK","",I32/HorasDia)</f>
        <v/>
      </c>
      <c r="L32" s="16">
        <f>IF($F32&lt;&gt;"OK","",H32/HorasDia)</f>
        <v/>
      </c>
      <c r="M32" s="17">
        <f>IF($F32&lt;&gt;"OK","",IF(UPPER(TRIM($D32))="NO",INDEX(Cat_TMax,MATCH($C32,Cat_Nombre,0)),INDEX(Cat_TMin,MATCH($C32,Cat_Nombre,0))))</f>
        <v/>
      </c>
      <c r="N32" s="17">
        <f>IF($F32&lt;&gt;"OK","",INDEX(Cat_TMax,MATCH($C32,Cat_Nombre,0)))</f>
        <v/>
      </c>
      <c r="O32" s="18">
        <f>IF($F32&lt;&gt;"OK","",INDEX(Cat_POpus,MATCH($C32,Cat_Nombre,0)))</f>
        <v/>
      </c>
      <c r="P32" s="19">
        <f>IF($F32&lt;&gt;"OK","",M32/1000000*((1-O32)*UsdM_Sonnet+O32*UsdM_Opus))</f>
        <v/>
      </c>
      <c r="Q32" s="19">
        <f>IF($F32&lt;&gt;"OK","",N32/1000000*((1-O32)*UsdM_Sonnet+O32*UsdM_Opus))</f>
        <v/>
      </c>
      <c r="R32" s="19">
        <f>IF($F32&lt;&gt;"OK","",G32*TarifaHora)</f>
        <v/>
      </c>
      <c r="S32" s="19">
        <f>IF($F32&lt;&gt;"OK","",H32*TarifaHora)</f>
        <v/>
      </c>
      <c r="T32" s="10">
        <f>IF($F32&lt;&gt;"OK","",IF(COUNTIFS($A$2:$A32,$A32,$F$2:$F32,"OK")=1,MAX($T$1:$T31)+1,""))</f>
        <v/>
      </c>
    </row>
    <row r="33">
      <c r="A33" s="11" t="n"/>
      <c r="B33" s="11" t="n"/>
      <c r="C33" s="11" t="n"/>
      <c r="D33" s="11" t="n"/>
      <c r="E33" s="11" t="n"/>
      <c r="F33" s="10">
        <f>IF(AND($A33="",$B33="",$C33=""),"",IF($A33="","⚠ Falta hito",IF(ISNA(MATCH($C33,Cat_Nombre,0)),"⚠ Categoría inválida","OK")))</f>
        <v/>
      </c>
      <c r="G33" s="16">
        <f>IF($F33&lt;&gt;"OK","",IF(UPPER(TRIM($D33))="NO",INDEX(Cat_HMax,MATCH($C33,Cat_Nombre,0)),INDEX(Cat_HMin,MATCH($C33,Cat_Nombre,0))))</f>
        <v/>
      </c>
      <c r="H33" s="16">
        <f>IF($F33&lt;&gt;"OK","",INDEX(Cat_HMax,MATCH($C33,Cat_Nombre,0)))</f>
        <v/>
      </c>
      <c r="I33" s="16">
        <f>IF($F33&lt;&gt;"OK","",(G33+H33)/2)</f>
        <v/>
      </c>
      <c r="J33" s="16">
        <f>IF($F33&lt;&gt;"OK","",G33/HorasDia)</f>
        <v/>
      </c>
      <c r="K33" s="16">
        <f>IF($F33&lt;&gt;"OK","",I33/HorasDia)</f>
        <v/>
      </c>
      <c r="L33" s="16">
        <f>IF($F33&lt;&gt;"OK","",H33/HorasDia)</f>
        <v/>
      </c>
      <c r="M33" s="17">
        <f>IF($F33&lt;&gt;"OK","",IF(UPPER(TRIM($D33))="NO",INDEX(Cat_TMax,MATCH($C33,Cat_Nombre,0)),INDEX(Cat_TMin,MATCH($C33,Cat_Nombre,0))))</f>
        <v/>
      </c>
      <c r="N33" s="17">
        <f>IF($F33&lt;&gt;"OK","",INDEX(Cat_TMax,MATCH($C33,Cat_Nombre,0)))</f>
        <v/>
      </c>
      <c r="O33" s="18">
        <f>IF($F33&lt;&gt;"OK","",INDEX(Cat_POpus,MATCH($C33,Cat_Nombre,0)))</f>
        <v/>
      </c>
      <c r="P33" s="19">
        <f>IF($F33&lt;&gt;"OK","",M33/1000000*((1-O33)*UsdM_Sonnet+O33*UsdM_Opus))</f>
        <v/>
      </c>
      <c r="Q33" s="19">
        <f>IF($F33&lt;&gt;"OK","",N33/1000000*((1-O33)*UsdM_Sonnet+O33*UsdM_Opus))</f>
        <v/>
      </c>
      <c r="R33" s="19">
        <f>IF($F33&lt;&gt;"OK","",G33*TarifaHora)</f>
        <v/>
      </c>
      <c r="S33" s="19">
        <f>IF($F33&lt;&gt;"OK","",H33*TarifaHora)</f>
        <v/>
      </c>
      <c r="T33" s="10">
        <f>IF($F33&lt;&gt;"OK","",IF(COUNTIFS($A$2:$A33,$A33,$F$2:$F33,"OK")=1,MAX($T$1:$T32)+1,""))</f>
        <v/>
      </c>
    </row>
    <row r="34">
      <c r="A34" s="11" t="n"/>
      <c r="B34" s="11" t="n"/>
      <c r="C34" s="11" t="n"/>
      <c r="D34" s="11" t="n"/>
      <c r="E34" s="11" t="n"/>
      <c r="F34" s="10">
        <f>IF(AND($A34="",$B34="",$C34=""),"",IF($A34="","⚠ Falta hito",IF(ISNA(MATCH($C34,Cat_Nombre,0)),"⚠ Categoría inválida","OK")))</f>
        <v/>
      </c>
      <c r="G34" s="16">
        <f>IF($F34&lt;&gt;"OK","",IF(UPPER(TRIM($D34))="NO",INDEX(Cat_HMax,MATCH($C34,Cat_Nombre,0)),INDEX(Cat_HMin,MATCH($C34,Cat_Nombre,0))))</f>
        <v/>
      </c>
      <c r="H34" s="16">
        <f>IF($F34&lt;&gt;"OK","",INDEX(Cat_HMax,MATCH($C34,Cat_Nombre,0)))</f>
        <v/>
      </c>
      <c r="I34" s="16">
        <f>IF($F34&lt;&gt;"OK","",(G34+H34)/2)</f>
        <v/>
      </c>
      <c r="J34" s="16">
        <f>IF($F34&lt;&gt;"OK","",G34/HorasDia)</f>
        <v/>
      </c>
      <c r="K34" s="16">
        <f>IF($F34&lt;&gt;"OK","",I34/HorasDia)</f>
        <v/>
      </c>
      <c r="L34" s="16">
        <f>IF($F34&lt;&gt;"OK","",H34/HorasDia)</f>
        <v/>
      </c>
      <c r="M34" s="17">
        <f>IF($F34&lt;&gt;"OK","",IF(UPPER(TRIM($D34))="NO",INDEX(Cat_TMax,MATCH($C34,Cat_Nombre,0)),INDEX(Cat_TMin,MATCH($C34,Cat_Nombre,0))))</f>
        <v/>
      </c>
      <c r="N34" s="17">
        <f>IF($F34&lt;&gt;"OK","",INDEX(Cat_TMax,MATCH($C34,Cat_Nombre,0)))</f>
        <v/>
      </c>
      <c r="O34" s="18">
        <f>IF($F34&lt;&gt;"OK","",INDEX(Cat_POpus,MATCH($C34,Cat_Nombre,0)))</f>
        <v/>
      </c>
      <c r="P34" s="19">
        <f>IF($F34&lt;&gt;"OK","",M34/1000000*((1-O34)*UsdM_Sonnet+O34*UsdM_Opus))</f>
        <v/>
      </c>
      <c r="Q34" s="19">
        <f>IF($F34&lt;&gt;"OK","",N34/1000000*((1-O34)*UsdM_Sonnet+O34*UsdM_Opus))</f>
        <v/>
      </c>
      <c r="R34" s="19">
        <f>IF($F34&lt;&gt;"OK","",G34*TarifaHora)</f>
        <v/>
      </c>
      <c r="S34" s="19">
        <f>IF($F34&lt;&gt;"OK","",H34*TarifaHora)</f>
        <v/>
      </c>
      <c r="T34" s="10">
        <f>IF($F34&lt;&gt;"OK","",IF(COUNTIFS($A$2:$A34,$A34,$F$2:$F34,"OK")=1,MAX($T$1:$T33)+1,""))</f>
        <v/>
      </c>
    </row>
    <row r="35">
      <c r="A35" s="11" t="n"/>
      <c r="B35" s="11" t="n"/>
      <c r="C35" s="11" t="n"/>
      <c r="D35" s="11" t="n"/>
      <c r="E35" s="11" t="n"/>
      <c r="F35" s="10">
        <f>IF(AND($A35="",$B35="",$C35=""),"",IF($A35="","⚠ Falta hito",IF(ISNA(MATCH($C35,Cat_Nombre,0)),"⚠ Categoría inválida","OK")))</f>
        <v/>
      </c>
      <c r="G35" s="16">
        <f>IF($F35&lt;&gt;"OK","",IF(UPPER(TRIM($D35))="NO",INDEX(Cat_HMax,MATCH($C35,Cat_Nombre,0)),INDEX(Cat_HMin,MATCH($C35,Cat_Nombre,0))))</f>
        <v/>
      </c>
      <c r="H35" s="16">
        <f>IF($F35&lt;&gt;"OK","",INDEX(Cat_HMax,MATCH($C35,Cat_Nombre,0)))</f>
        <v/>
      </c>
      <c r="I35" s="16">
        <f>IF($F35&lt;&gt;"OK","",(G35+H35)/2)</f>
        <v/>
      </c>
      <c r="J35" s="16">
        <f>IF($F35&lt;&gt;"OK","",G35/HorasDia)</f>
        <v/>
      </c>
      <c r="K35" s="16">
        <f>IF($F35&lt;&gt;"OK","",I35/HorasDia)</f>
        <v/>
      </c>
      <c r="L35" s="16">
        <f>IF($F35&lt;&gt;"OK","",H35/HorasDia)</f>
        <v/>
      </c>
      <c r="M35" s="17">
        <f>IF($F35&lt;&gt;"OK","",IF(UPPER(TRIM($D35))="NO",INDEX(Cat_TMax,MATCH($C35,Cat_Nombre,0)),INDEX(Cat_TMin,MATCH($C35,Cat_Nombre,0))))</f>
        <v/>
      </c>
      <c r="N35" s="17">
        <f>IF($F35&lt;&gt;"OK","",INDEX(Cat_TMax,MATCH($C35,Cat_Nombre,0)))</f>
        <v/>
      </c>
      <c r="O35" s="18">
        <f>IF($F35&lt;&gt;"OK","",INDEX(Cat_POpus,MATCH($C35,Cat_Nombre,0)))</f>
        <v/>
      </c>
      <c r="P35" s="19">
        <f>IF($F35&lt;&gt;"OK","",M35/1000000*((1-O35)*UsdM_Sonnet+O35*UsdM_Opus))</f>
        <v/>
      </c>
      <c r="Q35" s="19">
        <f>IF($F35&lt;&gt;"OK","",N35/1000000*((1-O35)*UsdM_Sonnet+O35*UsdM_Opus))</f>
        <v/>
      </c>
      <c r="R35" s="19">
        <f>IF($F35&lt;&gt;"OK","",G35*TarifaHora)</f>
        <v/>
      </c>
      <c r="S35" s="19">
        <f>IF($F35&lt;&gt;"OK","",H35*TarifaHora)</f>
        <v/>
      </c>
      <c r="T35" s="10">
        <f>IF($F35&lt;&gt;"OK","",IF(COUNTIFS($A$2:$A35,$A35,$F$2:$F35,"OK")=1,MAX($T$1:$T34)+1,""))</f>
        <v/>
      </c>
    </row>
    <row r="36">
      <c r="A36" s="11" t="n"/>
      <c r="B36" s="11" t="n"/>
      <c r="C36" s="11" t="n"/>
      <c r="D36" s="11" t="n"/>
      <c r="E36" s="11" t="n"/>
      <c r="F36" s="10">
        <f>IF(AND($A36="",$B36="",$C36=""),"",IF($A36="","⚠ Falta hito",IF(ISNA(MATCH($C36,Cat_Nombre,0)),"⚠ Categoría inválida","OK")))</f>
        <v/>
      </c>
      <c r="G36" s="16">
        <f>IF($F36&lt;&gt;"OK","",IF(UPPER(TRIM($D36))="NO",INDEX(Cat_HMax,MATCH($C36,Cat_Nombre,0)),INDEX(Cat_HMin,MATCH($C36,Cat_Nombre,0))))</f>
        <v/>
      </c>
      <c r="H36" s="16">
        <f>IF($F36&lt;&gt;"OK","",INDEX(Cat_HMax,MATCH($C36,Cat_Nombre,0)))</f>
        <v/>
      </c>
      <c r="I36" s="16">
        <f>IF($F36&lt;&gt;"OK","",(G36+H36)/2)</f>
        <v/>
      </c>
      <c r="J36" s="16">
        <f>IF($F36&lt;&gt;"OK","",G36/HorasDia)</f>
        <v/>
      </c>
      <c r="K36" s="16">
        <f>IF($F36&lt;&gt;"OK","",I36/HorasDia)</f>
        <v/>
      </c>
      <c r="L36" s="16">
        <f>IF($F36&lt;&gt;"OK","",H36/HorasDia)</f>
        <v/>
      </c>
      <c r="M36" s="17">
        <f>IF($F36&lt;&gt;"OK","",IF(UPPER(TRIM($D36))="NO",INDEX(Cat_TMax,MATCH($C36,Cat_Nombre,0)),INDEX(Cat_TMin,MATCH($C36,Cat_Nombre,0))))</f>
        <v/>
      </c>
      <c r="N36" s="17">
        <f>IF($F36&lt;&gt;"OK","",INDEX(Cat_TMax,MATCH($C36,Cat_Nombre,0)))</f>
        <v/>
      </c>
      <c r="O36" s="18">
        <f>IF($F36&lt;&gt;"OK","",INDEX(Cat_POpus,MATCH($C36,Cat_Nombre,0)))</f>
        <v/>
      </c>
      <c r="P36" s="19">
        <f>IF($F36&lt;&gt;"OK","",M36/1000000*((1-O36)*UsdM_Sonnet+O36*UsdM_Opus))</f>
        <v/>
      </c>
      <c r="Q36" s="19">
        <f>IF($F36&lt;&gt;"OK","",N36/1000000*((1-O36)*UsdM_Sonnet+O36*UsdM_Opus))</f>
        <v/>
      </c>
      <c r="R36" s="19">
        <f>IF($F36&lt;&gt;"OK","",G36*TarifaHora)</f>
        <v/>
      </c>
      <c r="S36" s="19">
        <f>IF($F36&lt;&gt;"OK","",H36*TarifaHora)</f>
        <v/>
      </c>
      <c r="T36" s="10">
        <f>IF($F36&lt;&gt;"OK","",IF(COUNTIFS($A$2:$A36,$A36,$F$2:$F36,"OK")=1,MAX($T$1:$T35)+1,""))</f>
        <v/>
      </c>
    </row>
    <row r="37">
      <c r="A37" s="11" t="n"/>
      <c r="B37" s="11" t="n"/>
      <c r="C37" s="11" t="n"/>
      <c r="D37" s="11" t="n"/>
      <c r="E37" s="11" t="n"/>
      <c r="F37" s="10">
        <f>IF(AND($A37="",$B37="",$C37=""),"",IF($A37="","⚠ Falta hito",IF(ISNA(MATCH($C37,Cat_Nombre,0)),"⚠ Categoría inválida","OK")))</f>
        <v/>
      </c>
      <c r="G37" s="16">
        <f>IF($F37&lt;&gt;"OK","",IF(UPPER(TRIM($D37))="NO",INDEX(Cat_HMax,MATCH($C37,Cat_Nombre,0)),INDEX(Cat_HMin,MATCH($C37,Cat_Nombre,0))))</f>
        <v/>
      </c>
      <c r="H37" s="16">
        <f>IF($F37&lt;&gt;"OK","",INDEX(Cat_HMax,MATCH($C37,Cat_Nombre,0)))</f>
        <v/>
      </c>
      <c r="I37" s="16">
        <f>IF($F37&lt;&gt;"OK","",(G37+H37)/2)</f>
        <v/>
      </c>
      <c r="J37" s="16">
        <f>IF($F37&lt;&gt;"OK","",G37/HorasDia)</f>
        <v/>
      </c>
      <c r="K37" s="16">
        <f>IF($F37&lt;&gt;"OK","",I37/HorasDia)</f>
        <v/>
      </c>
      <c r="L37" s="16">
        <f>IF($F37&lt;&gt;"OK","",H37/HorasDia)</f>
        <v/>
      </c>
      <c r="M37" s="17">
        <f>IF($F37&lt;&gt;"OK","",IF(UPPER(TRIM($D37))="NO",INDEX(Cat_TMax,MATCH($C37,Cat_Nombre,0)),INDEX(Cat_TMin,MATCH($C37,Cat_Nombre,0))))</f>
        <v/>
      </c>
      <c r="N37" s="17">
        <f>IF($F37&lt;&gt;"OK","",INDEX(Cat_TMax,MATCH($C37,Cat_Nombre,0)))</f>
        <v/>
      </c>
      <c r="O37" s="18">
        <f>IF($F37&lt;&gt;"OK","",INDEX(Cat_POpus,MATCH($C37,Cat_Nombre,0)))</f>
        <v/>
      </c>
      <c r="P37" s="19">
        <f>IF($F37&lt;&gt;"OK","",M37/1000000*((1-O37)*UsdM_Sonnet+O37*UsdM_Opus))</f>
        <v/>
      </c>
      <c r="Q37" s="19">
        <f>IF($F37&lt;&gt;"OK","",N37/1000000*((1-O37)*UsdM_Sonnet+O37*UsdM_Opus))</f>
        <v/>
      </c>
      <c r="R37" s="19">
        <f>IF($F37&lt;&gt;"OK","",G37*TarifaHora)</f>
        <v/>
      </c>
      <c r="S37" s="19">
        <f>IF($F37&lt;&gt;"OK","",H37*TarifaHora)</f>
        <v/>
      </c>
      <c r="T37" s="10">
        <f>IF($F37&lt;&gt;"OK","",IF(COUNTIFS($A$2:$A37,$A37,$F$2:$F37,"OK")=1,MAX($T$1:$T36)+1,""))</f>
        <v/>
      </c>
    </row>
    <row r="38">
      <c r="A38" s="11" t="n"/>
      <c r="B38" s="11" t="n"/>
      <c r="C38" s="11" t="n"/>
      <c r="D38" s="11" t="n"/>
      <c r="E38" s="11" t="n"/>
      <c r="F38" s="10">
        <f>IF(AND($A38="",$B38="",$C38=""),"",IF($A38="","⚠ Falta hito",IF(ISNA(MATCH($C38,Cat_Nombre,0)),"⚠ Categoría inválida","OK")))</f>
        <v/>
      </c>
      <c r="G38" s="16">
        <f>IF($F38&lt;&gt;"OK","",IF(UPPER(TRIM($D38))="NO",INDEX(Cat_HMax,MATCH($C38,Cat_Nombre,0)),INDEX(Cat_HMin,MATCH($C38,Cat_Nombre,0))))</f>
        <v/>
      </c>
      <c r="H38" s="16">
        <f>IF($F38&lt;&gt;"OK","",INDEX(Cat_HMax,MATCH($C38,Cat_Nombre,0)))</f>
        <v/>
      </c>
      <c r="I38" s="16">
        <f>IF($F38&lt;&gt;"OK","",(G38+H38)/2)</f>
        <v/>
      </c>
      <c r="J38" s="16">
        <f>IF($F38&lt;&gt;"OK","",G38/HorasDia)</f>
        <v/>
      </c>
      <c r="K38" s="16">
        <f>IF($F38&lt;&gt;"OK","",I38/HorasDia)</f>
        <v/>
      </c>
      <c r="L38" s="16">
        <f>IF($F38&lt;&gt;"OK","",H38/HorasDia)</f>
        <v/>
      </c>
      <c r="M38" s="17">
        <f>IF($F38&lt;&gt;"OK","",IF(UPPER(TRIM($D38))="NO",INDEX(Cat_TMax,MATCH($C38,Cat_Nombre,0)),INDEX(Cat_TMin,MATCH($C38,Cat_Nombre,0))))</f>
        <v/>
      </c>
      <c r="N38" s="17">
        <f>IF($F38&lt;&gt;"OK","",INDEX(Cat_TMax,MATCH($C38,Cat_Nombre,0)))</f>
        <v/>
      </c>
      <c r="O38" s="18">
        <f>IF($F38&lt;&gt;"OK","",INDEX(Cat_POpus,MATCH($C38,Cat_Nombre,0)))</f>
        <v/>
      </c>
      <c r="P38" s="19">
        <f>IF($F38&lt;&gt;"OK","",M38/1000000*((1-O38)*UsdM_Sonnet+O38*UsdM_Opus))</f>
        <v/>
      </c>
      <c r="Q38" s="19">
        <f>IF($F38&lt;&gt;"OK","",N38/1000000*((1-O38)*UsdM_Sonnet+O38*UsdM_Opus))</f>
        <v/>
      </c>
      <c r="R38" s="19">
        <f>IF($F38&lt;&gt;"OK","",G38*TarifaHora)</f>
        <v/>
      </c>
      <c r="S38" s="19">
        <f>IF($F38&lt;&gt;"OK","",H38*TarifaHora)</f>
        <v/>
      </c>
      <c r="T38" s="10">
        <f>IF($F38&lt;&gt;"OK","",IF(COUNTIFS($A$2:$A38,$A38,$F$2:$F38,"OK")=1,MAX($T$1:$T37)+1,""))</f>
        <v/>
      </c>
    </row>
    <row r="39">
      <c r="A39" s="11" t="n"/>
      <c r="B39" s="11" t="n"/>
      <c r="C39" s="11" t="n"/>
      <c r="D39" s="11" t="n"/>
      <c r="E39" s="11" t="n"/>
      <c r="F39" s="10">
        <f>IF(AND($A39="",$B39="",$C39=""),"",IF($A39="","⚠ Falta hito",IF(ISNA(MATCH($C39,Cat_Nombre,0)),"⚠ Categoría inválida","OK")))</f>
        <v/>
      </c>
      <c r="G39" s="16">
        <f>IF($F39&lt;&gt;"OK","",IF(UPPER(TRIM($D39))="NO",INDEX(Cat_HMax,MATCH($C39,Cat_Nombre,0)),INDEX(Cat_HMin,MATCH($C39,Cat_Nombre,0))))</f>
        <v/>
      </c>
      <c r="H39" s="16">
        <f>IF($F39&lt;&gt;"OK","",INDEX(Cat_HMax,MATCH($C39,Cat_Nombre,0)))</f>
        <v/>
      </c>
      <c r="I39" s="16">
        <f>IF($F39&lt;&gt;"OK","",(G39+H39)/2)</f>
        <v/>
      </c>
      <c r="J39" s="16">
        <f>IF($F39&lt;&gt;"OK","",G39/HorasDia)</f>
        <v/>
      </c>
      <c r="K39" s="16">
        <f>IF($F39&lt;&gt;"OK","",I39/HorasDia)</f>
        <v/>
      </c>
      <c r="L39" s="16">
        <f>IF($F39&lt;&gt;"OK","",H39/HorasDia)</f>
        <v/>
      </c>
      <c r="M39" s="17">
        <f>IF($F39&lt;&gt;"OK","",IF(UPPER(TRIM($D39))="NO",INDEX(Cat_TMax,MATCH($C39,Cat_Nombre,0)),INDEX(Cat_TMin,MATCH($C39,Cat_Nombre,0))))</f>
        <v/>
      </c>
      <c r="N39" s="17">
        <f>IF($F39&lt;&gt;"OK","",INDEX(Cat_TMax,MATCH($C39,Cat_Nombre,0)))</f>
        <v/>
      </c>
      <c r="O39" s="18">
        <f>IF($F39&lt;&gt;"OK","",INDEX(Cat_POpus,MATCH($C39,Cat_Nombre,0)))</f>
        <v/>
      </c>
      <c r="P39" s="19">
        <f>IF($F39&lt;&gt;"OK","",M39/1000000*((1-O39)*UsdM_Sonnet+O39*UsdM_Opus))</f>
        <v/>
      </c>
      <c r="Q39" s="19">
        <f>IF($F39&lt;&gt;"OK","",N39/1000000*((1-O39)*UsdM_Sonnet+O39*UsdM_Opus))</f>
        <v/>
      </c>
      <c r="R39" s="19">
        <f>IF($F39&lt;&gt;"OK","",G39*TarifaHora)</f>
        <v/>
      </c>
      <c r="S39" s="19">
        <f>IF($F39&lt;&gt;"OK","",H39*TarifaHora)</f>
        <v/>
      </c>
      <c r="T39" s="10">
        <f>IF($F39&lt;&gt;"OK","",IF(COUNTIFS($A$2:$A39,$A39,$F$2:$F39,"OK")=1,MAX($T$1:$T38)+1,""))</f>
        <v/>
      </c>
    </row>
    <row r="40">
      <c r="A40" s="11" t="n"/>
      <c r="B40" s="11" t="n"/>
      <c r="C40" s="11" t="n"/>
      <c r="D40" s="11" t="n"/>
      <c r="E40" s="11" t="n"/>
      <c r="F40" s="10">
        <f>IF(AND($A40="",$B40="",$C40=""),"",IF($A40="","⚠ Falta hito",IF(ISNA(MATCH($C40,Cat_Nombre,0)),"⚠ Categoría inválida","OK")))</f>
        <v/>
      </c>
      <c r="G40" s="16">
        <f>IF($F40&lt;&gt;"OK","",IF(UPPER(TRIM($D40))="NO",INDEX(Cat_HMax,MATCH($C40,Cat_Nombre,0)),INDEX(Cat_HMin,MATCH($C40,Cat_Nombre,0))))</f>
        <v/>
      </c>
      <c r="H40" s="16">
        <f>IF($F40&lt;&gt;"OK","",INDEX(Cat_HMax,MATCH($C40,Cat_Nombre,0)))</f>
        <v/>
      </c>
      <c r="I40" s="16">
        <f>IF($F40&lt;&gt;"OK","",(G40+H40)/2)</f>
        <v/>
      </c>
      <c r="J40" s="16">
        <f>IF($F40&lt;&gt;"OK","",G40/HorasDia)</f>
        <v/>
      </c>
      <c r="K40" s="16">
        <f>IF($F40&lt;&gt;"OK","",I40/HorasDia)</f>
        <v/>
      </c>
      <c r="L40" s="16">
        <f>IF($F40&lt;&gt;"OK","",H40/HorasDia)</f>
        <v/>
      </c>
      <c r="M40" s="17">
        <f>IF($F40&lt;&gt;"OK","",IF(UPPER(TRIM($D40))="NO",INDEX(Cat_TMax,MATCH($C40,Cat_Nombre,0)),INDEX(Cat_TMin,MATCH($C40,Cat_Nombre,0))))</f>
        <v/>
      </c>
      <c r="N40" s="17">
        <f>IF($F40&lt;&gt;"OK","",INDEX(Cat_TMax,MATCH($C40,Cat_Nombre,0)))</f>
        <v/>
      </c>
      <c r="O40" s="18">
        <f>IF($F40&lt;&gt;"OK","",INDEX(Cat_POpus,MATCH($C40,Cat_Nombre,0)))</f>
        <v/>
      </c>
      <c r="P40" s="19">
        <f>IF($F40&lt;&gt;"OK","",M40/1000000*((1-O40)*UsdM_Sonnet+O40*UsdM_Opus))</f>
        <v/>
      </c>
      <c r="Q40" s="19">
        <f>IF($F40&lt;&gt;"OK","",N40/1000000*((1-O40)*UsdM_Sonnet+O40*UsdM_Opus))</f>
        <v/>
      </c>
      <c r="R40" s="19">
        <f>IF($F40&lt;&gt;"OK","",G40*TarifaHora)</f>
        <v/>
      </c>
      <c r="S40" s="19">
        <f>IF($F40&lt;&gt;"OK","",H40*TarifaHora)</f>
        <v/>
      </c>
      <c r="T40" s="10">
        <f>IF($F40&lt;&gt;"OK","",IF(COUNTIFS($A$2:$A40,$A40,$F$2:$F40,"OK")=1,MAX($T$1:$T39)+1,""))</f>
        <v/>
      </c>
    </row>
    <row r="41">
      <c r="A41" s="11" t="n"/>
      <c r="B41" s="11" t="n"/>
      <c r="C41" s="11" t="n"/>
      <c r="D41" s="11" t="n"/>
      <c r="E41" s="11" t="n"/>
      <c r="F41" s="10">
        <f>IF(AND($A41="",$B41="",$C41=""),"",IF($A41="","⚠ Falta hito",IF(ISNA(MATCH($C41,Cat_Nombre,0)),"⚠ Categoría inválida","OK")))</f>
        <v/>
      </c>
      <c r="G41" s="16">
        <f>IF($F41&lt;&gt;"OK","",IF(UPPER(TRIM($D41))="NO",INDEX(Cat_HMax,MATCH($C41,Cat_Nombre,0)),INDEX(Cat_HMin,MATCH($C41,Cat_Nombre,0))))</f>
        <v/>
      </c>
      <c r="H41" s="16">
        <f>IF($F41&lt;&gt;"OK","",INDEX(Cat_HMax,MATCH($C41,Cat_Nombre,0)))</f>
        <v/>
      </c>
      <c r="I41" s="16">
        <f>IF($F41&lt;&gt;"OK","",(G41+H41)/2)</f>
        <v/>
      </c>
      <c r="J41" s="16">
        <f>IF($F41&lt;&gt;"OK","",G41/HorasDia)</f>
        <v/>
      </c>
      <c r="K41" s="16">
        <f>IF($F41&lt;&gt;"OK","",I41/HorasDia)</f>
        <v/>
      </c>
      <c r="L41" s="16">
        <f>IF($F41&lt;&gt;"OK","",H41/HorasDia)</f>
        <v/>
      </c>
      <c r="M41" s="17">
        <f>IF($F41&lt;&gt;"OK","",IF(UPPER(TRIM($D41))="NO",INDEX(Cat_TMax,MATCH($C41,Cat_Nombre,0)),INDEX(Cat_TMin,MATCH($C41,Cat_Nombre,0))))</f>
        <v/>
      </c>
      <c r="N41" s="17">
        <f>IF($F41&lt;&gt;"OK","",INDEX(Cat_TMax,MATCH($C41,Cat_Nombre,0)))</f>
        <v/>
      </c>
      <c r="O41" s="18">
        <f>IF($F41&lt;&gt;"OK","",INDEX(Cat_POpus,MATCH($C41,Cat_Nombre,0)))</f>
        <v/>
      </c>
      <c r="P41" s="19">
        <f>IF($F41&lt;&gt;"OK","",M41/1000000*((1-O41)*UsdM_Sonnet+O41*UsdM_Opus))</f>
        <v/>
      </c>
      <c r="Q41" s="19">
        <f>IF($F41&lt;&gt;"OK","",N41/1000000*((1-O41)*UsdM_Sonnet+O41*UsdM_Opus))</f>
        <v/>
      </c>
      <c r="R41" s="19">
        <f>IF($F41&lt;&gt;"OK","",G41*TarifaHora)</f>
        <v/>
      </c>
      <c r="S41" s="19">
        <f>IF($F41&lt;&gt;"OK","",H41*TarifaHora)</f>
        <v/>
      </c>
      <c r="T41" s="10">
        <f>IF($F41&lt;&gt;"OK","",IF(COUNTIFS($A$2:$A41,$A41,$F$2:$F41,"OK")=1,MAX($T$1:$T40)+1,""))</f>
        <v/>
      </c>
    </row>
    <row r="42">
      <c r="A42" s="11" t="n"/>
      <c r="B42" s="11" t="n"/>
      <c r="C42" s="11" t="n"/>
      <c r="D42" s="11" t="n"/>
      <c r="E42" s="11" t="n"/>
      <c r="F42" s="10">
        <f>IF(AND($A42="",$B42="",$C42=""),"",IF($A42="","⚠ Falta hito",IF(ISNA(MATCH($C42,Cat_Nombre,0)),"⚠ Categoría inválida","OK")))</f>
        <v/>
      </c>
      <c r="G42" s="16">
        <f>IF($F42&lt;&gt;"OK","",IF(UPPER(TRIM($D42))="NO",INDEX(Cat_HMax,MATCH($C42,Cat_Nombre,0)),INDEX(Cat_HMin,MATCH($C42,Cat_Nombre,0))))</f>
        <v/>
      </c>
      <c r="H42" s="16">
        <f>IF($F42&lt;&gt;"OK","",INDEX(Cat_HMax,MATCH($C42,Cat_Nombre,0)))</f>
        <v/>
      </c>
      <c r="I42" s="16">
        <f>IF($F42&lt;&gt;"OK","",(G42+H42)/2)</f>
        <v/>
      </c>
      <c r="J42" s="16">
        <f>IF($F42&lt;&gt;"OK","",G42/HorasDia)</f>
        <v/>
      </c>
      <c r="K42" s="16">
        <f>IF($F42&lt;&gt;"OK","",I42/HorasDia)</f>
        <v/>
      </c>
      <c r="L42" s="16">
        <f>IF($F42&lt;&gt;"OK","",H42/HorasDia)</f>
        <v/>
      </c>
      <c r="M42" s="17">
        <f>IF($F42&lt;&gt;"OK","",IF(UPPER(TRIM($D42))="NO",INDEX(Cat_TMax,MATCH($C42,Cat_Nombre,0)),INDEX(Cat_TMin,MATCH($C42,Cat_Nombre,0))))</f>
        <v/>
      </c>
      <c r="N42" s="17">
        <f>IF($F42&lt;&gt;"OK","",INDEX(Cat_TMax,MATCH($C42,Cat_Nombre,0)))</f>
        <v/>
      </c>
      <c r="O42" s="18">
        <f>IF($F42&lt;&gt;"OK","",INDEX(Cat_POpus,MATCH($C42,Cat_Nombre,0)))</f>
        <v/>
      </c>
      <c r="P42" s="19">
        <f>IF($F42&lt;&gt;"OK","",M42/1000000*((1-O42)*UsdM_Sonnet+O42*UsdM_Opus))</f>
        <v/>
      </c>
      <c r="Q42" s="19">
        <f>IF($F42&lt;&gt;"OK","",N42/1000000*((1-O42)*UsdM_Sonnet+O42*UsdM_Opus))</f>
        <v/>
      </c>
      <c r="R42" s="19">
        <f>IF($F42&lt;&gt;"OK","",G42*TarifaHora)</f>
        <v/>
      </c>
      <c r="S42" s="19">
        <f>IF($F42&lt;&gt;"OK","",H42*TarifaHora)</f>
        <v/>
      </c>
      <c r="T42" s="10">
        <f>IF($F42&lt;&gt;"OK","",IF(COUNTIFS($A$2:$A42,$A42,$F$2:$F42,"OK")=1,MAX($T$1:$T41)+1,""))</f>
        <v/>
      </c>
    </row>
    <row r="43">
      <c r="A43" s="11" t="n"/>
      <c r="B43" s="11" t="n"/>
      <c r="C43" s="11" t="n"/>
      <c r="D43" s="11" t="n"/>
      <c r="E43" s="11" t="n"/>
      <c r="F43" s="10">
        <f>IF(AND($A43="",$B43="",$C43=""),"",IF($A43="","⚠ Falta hito",IF(ISNA(MATCH($C43,Cat_Nombre,0)),"⚠ Categoría inválida","OK")))</f>
        <v/>
      </c>
      <c r="G43" s="16">
        <f>IF($F43&lt;&gt;"OK","",IF(UPPER(TRIM($D43))="NO",INDEX(Cat_HMax,MATCH($C43,Cat_Nombre,0)),INDEX(Cat_HMin,MATCH($C43,Cat_Nombre,0))))</f>
        <v/>
      </c>
      <c r="H43" s="16">
        <f>IF($F43&lt;&gt;"OK","",INDEX(Cat_HMax,MATCH($C43,Cat_Nombre,0)))</f>
        <v/>
      </c>
      <c r="I43" s="16">
        <f>IF($F43&lt;&gt;"OK","",(G43+H43)/2)</f>
        <v/>
      </c>
      <c r="J43" s="16">
        <f>IF($F43&lt;&gt;"OK","",G43/HorasDia)</f>
        <v/>
      </c>
      <c r="K43" s="16">
        <f>IF($F43&lt;&gt;"OK","",I43/HorasDia)</f>
        <v/>
      </c>
      <c r="L43" s="16">
        <f>IF($F43&lt;&gt;"OK","",H43/HorasDia)</f>
        <v/>
      </c>
      <c r="M43" s="17">
        <f>IF($F43&lt;&gt;"OK","",IF(UPPER(TRIM($D43))="NO",INDEX(Cat_TMax,MATCH($C43,Cat_Nombre,0)),INDEX(Cat_TMin,MATCH($C43,Cat_Nombre,0))))</f>
        <v/>
      </c>
      <c r="N43" s="17">
        <f>IF($F43&lt;&gt;"OK","",INDEX(Cat_TMax,MATCH($C43,Cat_Nombre,0)))</f>
        <v/>
      </c>
      <c r="O43" s="18">
        <f>IF($F43&lt;&gt;"OK","",INDEX(Cat_POpus,MATCH($C43,Cat_Nombre,0)))</f>
        <v/>
      </c>
      <c r="P43" s="19">
        <f>IF($F43&lt;&gt;"OK","",M43/1000000*((1-O43)*UsdM_Sonnet+O43*UsdM_Opus))</f>
        <v/>
      </c>
      <c r="Q43" s="19">
        <f>IF($F43&lt;&gt;"OK","",N43/1000000*((1-O43)*UsdM_Sonnet+O43*UsdM_Opus))</f>
        <v/>
      </c>
      <c r="R43" s="19">
        <f>IF($F43&lt;&gt;"OK","",G43*TarifaHora)</f>
        <v/>
      </c>
      <c r="S43" s="19">
        <f>IF($F43&lt;&gt;"OK","",H43*TarifaHora)</f>
        <v/>
      </c>
      <c r="T43" s="10">
        <f>IF($F43&lt;&gt;"OK","",IF(COUNTIFS($A$2:$A43,$A43,$F$2:$F43,"OK")=1,MAX($T$1:$T42)+1,""))</f>
        <v/>
      </c>
    </row>
    <row r="44">
      <c r="A44" s="11" t="n"/>
      <c r="B44" s="11" t="n"/>
      <c r="C44" s="11" t="n"/>
      <c r="D44" s="11" t="n"/>
      <c r="E44" s="11" t="n"/>
      <c r="F44" s="10">
        <f>IF(AND($A44="",$B44="",$C44=""),"",IF($A44="","⚠ Falta hito",IF(ISNA(MATCH($C44,Cat_Nombre,0)),"⚠ Categoría inválida","OK")))</f>
        <v/>
      </c>
      <c r="G44" s="16">
        <f>IF($F44&lt;&gt;"OK","",IF(UPPER(TRIM($D44))="NO",INDEX(Cat_HMax,MATCH($C44,Cat_Nombre,0)),INDEX(Cat_HMin,MATCH($C44,Cat_Nombre,0))))</f>
        <v/>
      </c>
      <c r="H44" s="16">
        <f>IF($F44&lt;&gt;"OK","",INDEX(Cat_HMax,MATCH($C44,Cat_Nombre,0)))</f>
        <v/>
      </c>
      <c r="I44" s="16">
        <f>IF($F44&lt;&gt;"OK","",(G44+H44)/2)</f>
        <v/>
      </c>
      <c r="J44" s="16">
        <f>IF($F44&lt;&gt;"OK","",G44/HorasDia)</f>
        <v/>
      </c>
      <c r="K44" s="16">
        <f>IF($F44&lt;&gt;"OK","",I44/HorasDia)</f>
        <v/>
      </c>
      <c r="L44" s="16">
        <f>IF($F44&lt;&gt;"OK","",H44/HorasDia)</f>
        <v/>
      </c>
      <c r="M44" s="17">
        <f>IF($F44&lt;&gt;"OK","",IF(UPPER(TRIM($D44))="NO",INDEX(Cat_TMax,MATCH($C44,Cat_Nombre,0)),INDEX(Cat_TMin,MATCH($C44,Cat_Nombre,0))))</f>
        <v/>
      </c>
      <c r="N44" s="17">
        <f>IF($F44&lt;&gt;"OK","",INDEX(Cat_TMax,MATCH($C44,Cat_Nombre,0)))</f>
        <v/>
      </c>
      <c r="O44" s="18">
        <f>IF($F44&lt;&gt;"OK","",INDEX(Cat_POpus,MATCH($C44,Cat_Nombre,0)))</f>
        <v/>
      </c>
      <c r="P44" s="19">
        <f>IF($F44&lt;&gt;"OK","",M44/1000000*((1-O44)*UsdM_Sonnet+O44*UsdM_Opus))</f>
        <v/>
      </c>
      <c r="Q44" s="19">
        <f>IF($F44&lt;&gt;"OK","",N44/1000000*((1-O44)*UsdM_Sonnet+O44*UsdM_Opus))</f>
        <v/>
      </c>
      <c r="R44" s="19">
        <f>IF($F44&lt;&gt;"OK","",G44*TarifaHora)</f>
        <v/>
      </c>
      <c r="S44" s="19">
        <f>IF($F44&lt;&gt;"OK","",H44*TarifaHora)</f>
        <v/>
      </c>
      <c r="T44" s="10">
        <f>IF($F44&lt;&gt;"OK","",IF(COUNTIFS($A$2:$A44,$A44,$F$2:$F44,"OK")=1,MAX($T$1:$T43)+1,""))</f>
        <v/>
      </c>
    </row>
    <row r="45">
      <c r="A45" s="11" t="n"/>
      <c r="B45" s="11" t="n"/>
      <c r="C45" s="11" t="n"/>
      <c r="D45" s="11" t="n"/>
      <c r="E45" s="11" t="n"/>
      <c r="F45" s="10">
        <f>IF(AND($A45="",$B45="",$C45=""),"",IF($A45="","⚠ Falta hito",IF(ISNA(MATCH($C45,Cat_Nombre,0)),"⚠ Categoría inválida","OK")))</f>
        <v/>
      </c>
      <c r="G45" s="16">
        <f>IF($F45&lt;&gt;"OK","",IF(UPPER(TRIM($D45))="NO",INDEX(Cat_HMax,MATCH($C45,Cat_Nombre,0)),INDEX(Cat_HMin,MATCH($C45,Cat_Nombre,0))))</f>
        <v/>
      </c>
      <c r="H45" s="16">
        <f>IF($F45&lt;&gt;"OK","",INDEX(Cat_HMax,MATCH($C45,Cat_Nombre,0)))</f>
        <v/>
      </c>
      <c r="I45" s="16">
        <f>IF($F45&lt;&gt;"OK","",(G45+H45)/2)</f>
        <v/>
      </c>
      <c r="J45" s="16">
        <f>IF($F45&lt;&gt;"OK","",G45/HorasDia)</f>
        <v/>
      </c>
      <c r="K45" s="16">
        <f>IF($F45&lt;&gt;"OK","",I45/HorasDia)</f>
        <v/>
      </c>
      <c r="L45" s="16">
        <f>IF($F45&lt;&gt;"OK","",H45/HorasDia)</f>
        <v/>
      </c>
      <c r="M45" s="17">
        <f>IF($F45&lt;&gt;"OK","",IF(UPPER(TRIM($D45))="NO",INDEX(Cat_TMax,MATCH($C45,Cat_Nombre,0)),INDEX(Cat_TMin,MATCH($C45,Cat_Nombre,0))))</f>
        <v/>
      </c>
      <c r="N45" s="17">
        <f>IF($F45&lt;&gt;"OK","",INDEX(Cat_TMax,MATCH($C45,Cat_Nombre,0)))</f>
        <v/>
      </c>
      <c r="O45" s="18">
        <f>IF($F45&lt;&gt;"OK","",INDEX(Cat_POpus,MATCH($C45,Cat_Nombre,0)))</f>
        <v/>
      </c>
      <c r="P45" s="19">
        <f>IF($F45&lt;&gt;"OK","",M45/1000000*((1-O45)*UsdM_Sonnet+O45*UsdM_Opus))</f>
        <v/>
      </c>
      <c r="Q45" s="19">
        <f>IF($F45&lt;&gt;"OK","",N45/1000000*((1-O45)*UsdM_Sonnet+O45*UsdM_Opus))</f>
        <v/>
      </c>
      <c r="R45" s="19">
        <f>IF($F45&lt;&gt;"OK","",G45*TarifaHora)</f>
        <v/>
      </c>
      <c r="S45" s="19">
        <f>IF($F45&lt;&gt;"OK","",H45*TarifaHora)</f>
        <v/>
      </c>
      <c r="T45" s="10">
        <f>IF($F45&lt;&gt;"OK","",IF(COUNTIFS($A$2:$A45,$A45,$F$2:$F45,"OK")=1,MAX($T$1:$T44)+1,""))</f>
        <v/>
      </c>
    </row>
    <row r="46">
      <c r="A46" s="11" t="n"/>
      <c r="B46" s="11" t="n"/>
      <c r="C46" s="11" t="n"/>
      <c r="D46" s="11" t="n"/>
      <c r="E46" s="11" t="n"/>
      <c r="F46" s="10">
        <f>IF(AND($A46="",$B46="",$C46=""),"",IF($A46="","⚠ Falta hito",IF(ISNA(MATCH($C46,Cat_Nombre,0)),"⚠ Categoría inválida","OK")))</f>
        <v/>
      </c>
      <c r="G46" s="16">
        <f>IF($F46&lt;&gt;"OK","",IF(UPPER(TRIM($D46))="NO",INDEX(Cat_HMax,MATCH($C46,Cat_Nombre,0)),INDEX(Cat_HMin,MATCH($C46,Cat_Nombre,0))))</f>
        <v/>
      </c>
      <c r="H46" s="16">
        <f>IF($F46&lt;&gt;"OK","",INDEX(Cat_HMax,MATCH($C46,Cat_Nombre,0)))</f>
        <v/>
      </c>
      <c r="I46" s="16">
        <f>IF($F46&lt;&gt;"OK","",(G46+H46)/2)</f>
        <v/>
      </c>
      <c r="J46" s="16">
        <f>IF($F46&lt;&gt;"OK","",G46/HorasDia)</f>
        <v/>
      </c>
      <c r="K46" s="16">
        <f>IF($F46&lt;&gt;"OK","",I46/HorasDia)</f>
        <v/>
      </c>
      <c r="L46" s="16">
        <f>IF($F46&lt;&gt;"OK","",H46/HorasDia)</f>
        <v/>
      </c>
      <c r="M46" s="17">
        <f>IF($F46&lt;&gt;"OK","",IF(UPPER(TRIM($D46))="NO",INDEX(Cat_TMax,MATCH($C46,Cat_Nombre,0)),INDEX(Cat_TMin,MATCH($C46,Cat_Nombre,0))))</f>
        <v/>
      </c>
      <c r="N46" s="17">
        <f>IF($F46&lt;&gt;"OK","",INDEX(Cat_TMax,MATCH($C46,Cat_Nombre,0)))</f>
        <v/>
      </c>
      <c r="O46" s="18">
        <f>IF($F46&lt;&gt;"OK","",INDEX(Cat_POpus,MATCH($C46,Cat_Nombre,0)))</f>
        <v/>
      </c>
      <c r="P46" s="19">
        <f>IF($F46&lt;&gt;"OK","",M46/1000000*((1-O46)*UsdM_Sonnet+O46*UsdM_Opus))</f>
        <v/>
      </c>
      <c r="Q46" s="19">
        <f>IF($F46&lt;&gt;"OK","",N46/1000000*((1-O46)*UsdM_Sonnet+O46*UsdM_Opus))</f>
        <v/>
      </c>
      <c r="R46" s="19">
        <f>IF($F46&lt;&gt;"OK","",G46*TarifaHora)</f>
        <v/>
      </c>
      <c r="S46" s="19">
        <f>IF($F46&lt;&gt;"OK","",H46*TarifaHora)</f>
        <v/>
      </c>
      <c r="T46" s="10">
        <f>IF($F46&lt;&gt;"OK","",IF(COUNTIFS($A$2:$A46,$A46,$F$2:$F46,"OK")=1,MAX($T$1:$T45)+1,""))</f>
        <v/>
      </c>
    </row>
    <row r="47">
      <c r="A47" s="11" t="n"/>
      <c r="B47" s="11" t="n"/>
      <c r="C47" s="11" t="n"/>
      <c r="D47" s="11" t="n"/>
      <c r="E47" s="11" t="n"/>
      <c r="F47" s="10">
        <f>IF(AND($A47="",$B47="",$C47=""),"",IF($A47="","⚠ Falta hito",IF(ISNA(MATCH($C47,Cat_Nombre,0)),"⚠ Categoría inválida","OK")))</f>
        <v/>
      </c>
      <c r="G47" s="16">
        <f>IF($F47&lt;&gt;"OK","",IF(UPPER(TRIM($D47))="NO",INDEX(Cat_HMax,MATCH($C47,Cat_Nombre,0)),INDEX(Cat_HMin,MATCH($C47,Cat_Nombre,0))))</f>
        <v/>
      </c>
      <c r="H47" s="16">
        <f>IF($F47&lt;&gt;"OK","",INDEX(Cat_HMax,MATCH($C47,Cat_Nombre,0)))</f>
        <v/>
      </c>
      <c r="I47" s="16">
        <f>IF($F47&lt;&gt;"OK","",(G47+H47)/2)</f>
        <v/>
      </c>
      <c r="J47" s="16">
        <f>IF($F47&lt;&gt;"OK","",G47/HorasDia)</f>
        <v/>
      </c>
      <c r="K47" s="16">
        <f>IF($F47&lt;&gt;"OK","",I47/HorasDia)</f>
        <v/>
      </c>
      <c r="L47" s="16">
        <f>IF($F47&lt;&gt;"OK","",H47/HorasDia)</f>
        <v/>
      </c>
      <c r="M47" s="17">
        <f>IF($F47&lt;&gt;"OK","",IF(UPPER(TRIM($D47))="NO",INDEX(Cat_TMax,MATCH($C47,Cat_Nombre,0)),INDEX(Cat_TMin,MATCH($C47,Cat_Nombre,0))))</f>
        <v/>
      </c>
      <c r="N47" s="17">
        <f>IF($F47&lt;&gt;"OK","",INDEX(Cat_TMax,MATCH($C47,Cat_Nombre,0)))</f>
        <v/>
      </c>
      <c r="O47" s="18">
        <f>IF($F47&lt;&gt;"OK","",INDEX(Cat_POpus,MATCH($C47,Cat_Nombre,0)))</f>
        <v/>
      </c>
      <c r="P47" s="19">
        <f>IF($F47&lt;&gt;"OK","",M47/1000000*((1-O47)*UsdM_Sonnet+O47*UsdM_Opus))</f>
        <v/>
      </c>
      <c r="Q47" s="19">
        <f>IF($F47&lt;&gt;"OK","",N47/1000000*((1-O47)*UsdM_Sonnet+O47*UsdM_Opus))</f>
        <v/>
      </c>
      <c r="R47" s="19">
        <f>IF($F47&lt;&gt;"OK","",G47*TarifaHora)</f>
        <v/>
      </c>
      <c r="S47" s="19">
        <f>IF($F47&lt;&gt;"OK","",H47*TarifaHora)</f>
        <v/>
      </c>
      <c r="T47" s="10">
        <f>IF($F47&lt;&gt;"OK","",IF(COUNTIFS($A$2:$A47,$A47,$F$2:$F47,"OK")=1,MAX($T$1:$T46)+1,""))</f>
        <v/>
      </c>
    </row>
    <row r="48">
      <c r="A48" s="11" t="n"/>
      <c r="B48" s="11" t="n"/>
      <c r="C48" s="11" t="n"/>
      <c r="D48" s="11" t="n"/>
      <c r="E48" s="11" t="n"/>
      <c r="F48" s="10">
        <f>IF(AND($A48="",$B48="",$C48=""),"",IF($A48="","⚠ Falta hito",IF(ISNA(MATCH($C48,Cat_Nombre,0)),"⚠ Categoría inválida","OK")))</f>
        <v/>
      </c>
      <c r="G48" s="16">
        <f>IF($F48&lt;&gt;"OK","",IF(UPPER(TRIM($D48))="NO",INDEX(Cat_HMax,MATCH($C48,Cat_Nombre,0)),INDEX(Cat_HMin,MATCH($C48,Cat_Nombre,0))))</f>
        <v/>
      </c>
      <c r="H48" s="16">
        <f>IF($F48&lt;&gt;"OK","",INDEX(Cat_HMax,MATCH($C48,Cat_Nombre,0)))</f>
        <v/>
      </c>
      <c r="I48" s="16">
        <f>IF($F48&lt;&gt;"OK","",(G48+H48)/2)</f>
        <v/>
      </c>
      <c r="J48" s="16">
        <f>IF($F48&lt;&gt;"OK","",G48/HorasDia)</f>
        <v/>
      </c>
      <c r="K48" s="16">
        <f>IF($F48&lt;&gt;"OK","",I48/HorasDia)</f>
        <v/>
      </c>
      <c r="L48" s="16">
        <f>IF($F48&lt;&gt;"OK","",H48/HorasDia)</f>
        <v/>
      </c>
      <c r="M48" s="17">
        <f>IF($F48&lt;&gt;"OK","",IF(UPPER(TRIM($D48))="NO",INDEX(Cat_TMax,MATCH($C48,Cat_Nombre,0)),INDEX(Cat_TMin,MATCH($C48,Cat_Nombre,0))))</f>
        <v/>
      </c>
      <c r="N48" s="17">
        <f>IF($F48&lt;&gt;"OK","",INDEX(Cat_TMax,MATCH($C48,Cat_Nombre,0)))</f>
        <v/>
      </c>
      <c r="O48" s="18">
        <f>IF($F48&lt;&gt;"OK","",INDEX(Cat_POpus,MATCH($C48,Cat_Nombre,0)))</f>
        <v/>
      </c>
      <c r="P48" s="19">
        <f>IF($F48&lt;&gt;"OK","",M48/1000000*((1-O48)*UsdM_Sonnet+O48*UsdM_Opus))</f>
        <v/>
      </c>
      <c r="Q48" s="19">
        <f>IF($F48&lt;&gt;"OK","",N48/1000000*((1-O48)*UsdM_Sonnet+O48*UsdM_Opus))</f>
        <v/>
      </c>
      <c r="R48" s="19">
        <f>IF($F48&lt;&gt;"OK","",G48*TarifaHora)</f>
        <v/>
      </c>
      <c r="S48" s="19">
        <f>IF($F48&lt;&gt;"OK","",H48*TarifaHora)</f>
        <v/>
      </c>
      <c r="T48" s="10">
        <f>IF($F48&lt;&gt;"OK","",IF(COUNTIFS($A$2:$A48,$A48,$F$2:$F48,"OK")=1,MAX($T$1:$T47)+1,""))</f>
        <v/>
      </c>
    </row>
    <row r="49">
      <c r="A49" s="11" t="n"/>
      <c r="B49" s="11" t="n"/>
      <c r="C49" s="11" t="n"/>
      <c r="D49" s="11" t="n"/>
      <c r="E49" s="11" t="n"/>
      <c r="F49" s="10">
        <f>IF(AND($A49="",$B49="",$C49=""),"",IF($A49="","⚠ Falta hito",IF(ISNA(MATCH($C49,Cat_Nombre,0)),"⚠ Categoría inválida","OK")))</f>
        <v/>
      </c>
      <c r="G49" s="16">
        <f>IF($F49&lt;&gt;"OK","",IF(UPPER(TRIM($D49))="NO",INDEX(Cat_HMax,MATCH($C49,Cat_Nombre,0)),INDEX(Cat_HMin,MATCH($C49,Cat_Nombre,0))))</f>
        <v/>
      </c>
      <c r="H49" s="16">
        <f>IF($F49&lt;&gt;"OK","",INDEX(Cat_HMax,MATCH($C49,Cat_Nombre,0)))</f>
        <v/>
      </c>
      <c r="I49" s="16">
        <f>IF($F49&lt;&gt;"OK","",(G49+H49)/2)</f>
        <v/>
      </c>
      <c r="J49" s="16">
        <f>IF($F49&lt;&gt;"OK","",G49/HorasDia)</f>
        <v/>
      </c>
      <c r="K49" s="16">
        <f>IF($F49&lt;&gt;"OK","",I49/HorasDia)</f>
        <v/>
      </c>
      <c r="L49" s="16">
        <f>IF($F49&lt;&gt;"OK","",H49/HorasDia)</f>
        <v/>
      </c>
      <c r="M49" s="17">
        <f>IF($F49&lt;&gt;"OK","",IF(UPPER(TRIM($D49))="NO",INDEX(Cat_TMax,MATCH($C49,Cat_Nombre,0)),INDEX(Cat_TMin,MATCH($C49,Cat_Nombre,0))))</f>
        <v/>
      </c>
      <c r="N49" s="17">
        <f>IF($F49&lt;&gt;"OK","",INDEX(Cat_TMax,MATCH($C49,Cat_Nombre,0)))</f>
        <v/>
      </c>
      <c r="O49" s="18">
        <f>IF($F49&lt;&gt;"OK","",INDEX(Cat_POpus,MATCH($C49,Cat_Nombre,0)))</f>
        <v/>
      </c>
      <c r="P49" s="19">
        <f>IF($F49&lt;&gt;"OK","",M49/1000000*((1-O49)*UsdM_Sonnet+O49*UsdM_Opus))</f>
        <v/>
      </c>
      <c r="Q49" s="19">
        <f>IF($F49&lt;&gt;"OK","",N49/1000000*((1-O49)*UsdM_Sonnet+O49*UsdM_Opus))</f>
        <v/>
      </c>
      <c r="R49" s="19">
        <f>IF($F49&lt;&gt;"OK","",G49*TarifaHora)</f>
        <v/>
      </c>
      <c r="S49" s="19">
        <f>IF($F49&lt;&gt;"OK","",H49*TarifaHora)</f>
        <v/>
      </c>
      <c r="T49" s="10">
        <f>IF($F49&lt;&gt;"OK","",IF(COUNTIFS($A$2:$A49,$A49,$F$2:$F49,"OK")=1,MAX($T$1:$T48)+1,""))</f>
        <v/>
      </c>
    </row>
    <row r="50">
      <c r="A50" s="11" t="n"/>
      <c r="B50" s="11" t="n"/>
      <c r="C50" s="11" t="n"/>
      <c r="D50" s="11" t="n"/>
      <c r="E50" s="11" t="n"/>
      <c r="F50" s="10">
        <f>IF(AND($A50="",$B50="",$C50=""),"",IF($A50="","⚠ Falta hito",IF(ISNA(MATCH($C50,Cat_Nombre,0)),"⚠ Categoría inválida","OK")))</f>
        <v/>
      </c>
      <c r="G50" s="16">
        <f>IF($F50&lt;&gt;"OK","",IF(UPPER(TRIM($D50))="NO",INDEX(Cat_HMax,MATCH($C50,Cat_Nombre,0)),INDEX(Cat_HMin,MATCH($C50,Cat_Nombre,0))))</f>
        <v/>
      </c>
      <c r="H50" s="16">
        <f>IF($F50&lt;&gt;"OK","",INDEX(Cat_HMax,MATCH($C50,Cat_Nombre,0)))</f>
        <v/>
      </c>
      <c r="I50" s="16">
        <f>IF($F50&lt;&gt;"OK","",(G50+H50)/2)</f>
        <v/>
      </c>
      <c r="J50" s="16">
        <f>IF($F50&lt;&gt;"OK","",G50/HorasDia)</f>
        <v/>
      </c>
      <c r="K50" s="16">
        <f>IF($F50&lt;&gt;"OK","",I50/HorasDia)</f>
        <v/>
      </c>
      <c r="L50" s="16">
        <f>IF($F50&lt;&gt;"OK","",H50/HorasDia)</f>
        <v/>
      </c>
      <c r="M50" s="17">
        <f>IF($F50&lt;&gt;"OK","",IF(UPPER(TRIM($D50))="NO",INDEX(Cat_TMax,MATCH($C50,Cat_Nombre,0)),INDEX(Cat_TMin,MATCH($C50,Cat_Nombre,0))))</f>
        <v/>
      </c>
      <c r="N50" s="17">
        <f>IF($F50&lt;&gt;"OK","",INDEX(Cat_TMax,MATCH($C50,Cat_Nombre,0)))</f>
        <v/>
      </c>
      <c r="O50" s="18">
        <f>IF($F50&lt;&gt;"OK","",INDEX(Cat_POpus,MATCH($C50,Cat_Nombre,0)))</f>
        <v/>
      </c>
      <c r="P50" s="19">
        <f>IF($F50&lt;&gt;"OK","",M50/1000000*((1-O50)*UsdM_Sonnet+O50*UsdM_Opus))</f>
        <v/>
      </c>
      <c r="Q50" s="19">
        <f>IF($F50&lt;&gt;"OK","",N50/1000000*((1-O50)*UsdM_Sonnet+O50*UsdM_Opus))</f>
        <v/>
      </c>
      <c r="R50" s="19">
        <f>IF($F50&lt;&gt;"OK","",G50*TarifaHora)</f>
        <v/>
      </c>
      <c r="S50" s="19">
        <f>IF($F50&lt;&gt;"OK","",H50*TarifaHora)</f>
        <v/>
      </c>
      <c r="T50" s="10">
        <f>IF($F50&lt;&gt;"OK","",IF(COUNTIFS($A$2:$A50,$A50,$F$2:$F50,"OK")=1,MAX($T$1:$T49)+1,""))</f>
        <v/>
      </c>
    </row>
    <row r="51">
      <c r="A51" s="11" t="n"/>
      <c r="B51" s="11" t="n"/>
      <c r="C51" s="11" t="n"/>
      <c r="D51" s="11" t="n"/>
      <c r="E51" s="11" t="n"/>
      <c r="F51" s="10">
        <f>IF(AND($A51="",$B51="",$C51=""),"",IF($A51="","⚠ Falta hito",IF(ISNA(MATCH($C51,Cat_Nombre,0)),"⚠ Categoría inválida","OK")))</f>
        <v/>
      </c>
      <c r="G51" s="16">
        <f>IF($F51&lt;&gt;"OK","",IF(UPPER(TRIM($D51))="NO",INDEX(Cat_HMax,MATCH($C51,Cat_Nombre,0)),INDEX(Cat_HMin,MATCH($C51,Cat_Nombre,0))))</f>
        <v/>
      </c>
      <c r="H51" s="16">
        <f>IF($F51&lt;&gt;"OK","",INDEX(Cat_HMax,MATCH($C51,Cat_Nombre,0)))</f>
        <v/>
      </c>
      <c r="I51" s="16">
        <f>IF($F51&lt;&gt;"OK","",(G51+H51)/2)</f>
        <v/>
      </c>
      <c r="J51" s="16">
        <f>IF($F51&lt;&gt;"OK","",G51/HorasDia)</f>
        <v/>
      </c>
      <c r="K51" s="16">
        <f>IF($F51&lt;&gt;"OK","",I51/HorasDia)</f>
        <v/>
      </c>
      <c r="L51" s="16">
        <f>IF($F51&lt;&gt;"OK","",H51/HorasDia)</f>
        <v/>
      </c>
      <c r="M51" s="17">
        <f>IF($F51&lt;&gt;"OK","",IF(UPPER(TRIM($D51))="NO",INDEX(Cat_TMax,MATCH($C51,Cat_Nombre,0)),INDEX(Cat_TMin,MATCH($C51,Cat_Nombre,0))))</f>
        <v/>
      </c>
      <c r="N51" s="17">
        <f>IF($F51&lt;&gt;"OK","",INDEX(Cat_TMax,MATCH($C51,Cat_Nombre,0)))</f>
        <v/>
      </c>
      <c r="O51" s="18">
        <f>IF($F51&lt;&gt;"OK","",INDEX(Cat_POpus,MATCH($C51,Cat_Nombre,0)))</f>
        <v/>
      </c>
      <c r="P51" s="19">
        <f>IF($F51&lt;&gt;"OK","",M51/1000000*((1-O51)*UsdM_Sonnet+O51*UsdM_Opus))</f>
        <v/>
      </c>
      <c r="Q51" s="19">
        <f>IF($F51&lt;&gt;"OK","",N51/1000000*((1-O51)*UsdM_Sonnet+O51*UsdM_Opus))</f>
        <v/>
      </c>
      <c r="R51" s="19">
        <f>IF($F51&lt;&gt;"OK","",G51*TarifaHora)</f>
        <v/>
      </c>
      <c r="S51" s="19">
        <f>IF($F51&lt;&gt;"OK","",H51*TarifaHora)</f>
        <v/>
      </c>
      <c r="T51" s="10">
        <f>IF($F51&lt;&gt;"OK","",IF(COUNTIFS($A$2:$A51,$A51,$F$2:$F51,"OK")=1,MAX($T$1:$T50)+1,""))</f>
        <v/>
      </c>
    </row>
    <row r="52">
      <c r="A52" s="11" t="n"/>
      <c r="B52" s="11" t="n"/>
      <c r="C52" s="11" t="n"/>
      <c r="D52" s="11" t="n"/>
      <c r="E52" s="11" t="n"/>
      <c r="F52" s="10">
        <f>IF(AND($A52="",$B52="",$C52=""),"",IF($A52="","⚠ Falta hito",IF(ISNA(MATCH($C52,Cat_Nombre,0)),"⚠ Categoría inválida","OK")))</f>
        <v/>
      </c>
      <c r="G52" s="16">
        <f>IF($F52&lt;&gt;"OK","",IF(UPPER(TRIM($D52))="NO",INDEX(Cat_HMax,MATCH($C52,Cat_Nombre,0)),INDEX(Cat_HMin,MATCH($C52,Cat_Nombre,0))))</f>
        <v/>
      </c>
      <c r="H52" s="16">
        <f>IF($F52&lt;&gt;"OK","",INDEX(Cat_HMax,MATCH($C52,Cat_Nombre,0)))</f>
        <v/>
      </c>
      <c r="I52" s="16">
        <f>IF($F52&lt;&gt;"OK","",(G52+H52)/2)</f>
        <v/>
      </c>
      <c r="J52" s="16">
        <f>IF($F52&lt;&gt;"OK","",G52/HorasDia)</f>
        <v/>
      </c>
      <c r="K52" s="16">
        <f>IF($F52&lt;&gt;"OK","",I52/HorasDia)</f>
        <v/>
      </c>
      <c r="L52" s="16">
        <f>IF($F52&lt;&gt;"OK","",H52/HorasDia)</f>
        <v/>
      </c>
      <c r="M52" s="17">
        <f>IF($F52&lt;&gt;"OK","",IF(UPPER(TRIM($D52))="NO",INDEX(Cat_TMax,MATCH($C52,Cat_Nombre,0)),INDEX(Cat_TMin,MATCH($C52,Cat_Nombre,0))))</f>
        <v/>
      </c>
      <c r="N52" s="17">
        <f>IF($F52&lt;&gt;"OK","",INDEX(Cat_TMax,MATCH($C52,Cat_Nombre,0)))</f>
        <v/>
      </c>
      <c r="O52" s="18">
        <f>IF($F52&lt;&gt;"OK","",INDEX(Cat_POpus,MATCH($C52,Cat_Nombre,0)))</f>
        <v/>
      </c>
      <c r="P52" s="19">
        <f>IF($F52&lt;&gt;"OK","",M52/1000000*((1-O52)*UsdM_Sonnet+O52*UsdM_Opus))</f>
        <v/>
      </c>
      <c r="Q52" s="19">
        <f>IF($F52&lt;&gt;"OK","",N52/1000000*((1-O52)*UsdM_Sonnet+O52*UsdM_Opus))</f>
        <v/>
      </c>
      <c r="R52" s="19">
        <f>IF($F52&lt;&gt;"OK","",G52*TarifaHora)</f>
        <v/>
      </c>
      <c r="S52" s="19">
        <f>IF($F52&lt;&gt;"OK","",H52*TarifaHora)</f>
        <v/>
      </c>
      <c r="T52" s="10">
        <f>IF($F52&lt;&gt;"OK","",IF(COUNTIFS($A$2:$A52,$A52,$F$2:$F52,"OK")=1,MAX($T$1:$T51)+1,""))</f>
        <v/>
      </c>
    </row>
    <row r="53">
      <c r="A53" s="11" t="n"/>
      <c r="B53" s="11" t="n"/>
      <c r="C53" s="11" t="n"/>
      <c r="D53" s="11" t="n"/>
      <c r="E53" s="11" t="n"/>
      <c r="F53" s="10">
        <f>IF(AND($A53="",$B53="",$C53=""),"",IF($A53="","⚠ Falta hito",IF(ISNA(MATCH($C53,Cat_Nombre,0)),"⚠ Categoría inválida","OK")))</f>
        <v/>
      </c>
      <c r="G53" s="16">
        <f>IF($F53&lt;&gt;"OK","",IF(UPPER(TRIM($D53))="NO",INDEX(Cat_HMax,MATCH($C53,Cat_Nombre,0)),INDEX(Cat_HMin,MATCH($C53,Cat_Nombre,0))))</f>
        <v/>
      </c>
      <c r="H53" s="16">
        <f>IF($F53&lt;&gt;"OK","",INDEX(Cat_HMax,MATCH($C53,Cat_Nombre,0)))</f>
        <v/>
      </c>
      <c r="I53" s="16">
        <f>IF($F53&lt;&gt;"OK","",(G53+H53)/2)</f>
        <v/>
      </c>
      <c r="J53" s="16">
        <f>IF($F53&lt;&gt;"OK","",G53/HorasDia)</f>
        <v/>
      </c>
      <c r="K53" s="16">
        <f>IF($F53&lt;&gt;"OK","",I53/HorasDia)</f>
        <v/>
      </c>
      <c r="L53" s="16">
        <f>IF($F53&lt;&gt;"OK","",H53/HorasDia)</f>
        <v/>
      </c>
      <c r="M53" s="17">
        <f>IF($F53&lt;&gt;"OK","",IF(UPPER(TRIM($D53))="NO",INDEX(Cat_TMax,MATCH($C53,Cat_Nombre,0)),INDEX(Cat_TMin,MATCH($C53,Cat_Nombre,0))))</f>
        <v/>
      </c>
      <c r="N53" s="17">
        <f>IF($F53&lt;&gt;"OK","",INDEX(Cat_TMax,MATCH($C53,Cat_Nombre,0)))</f>
        <v/>
      </c>
      <c r="O53" s="18">
        <f>IF($F53&lt;&gt;"OK","",INDEX(Cat_POpus,MATCH($C53,Cat_Nombre,0)))</f>
        <v/>
      </c>
      <c r="P53" s="19">
        <f>IF($F53&lt;&gt;"OK","",M53/1000000*((1-O53)*UsdM_Sonnet+O53*UsdM_Opus))</f>
        <v/>
      </c>
      <c r="Q53" s="19">
        <f>IF($F53&lt;&gt;"OK","",N53/1000000*((1-O53)*UsdM_Sonnet+O53*UsdM_Opus))</f>
        <v/>
      </c>
      <c r="R53" s="19">
        <f>IF($F53&lt;&gt;"OK","",G53*TarifaHora)</f>
        <v/>
      </c>
      <c r="S53" s="19">
        <f>IF($F53&lt;&gt;"OK","",H53*TarifaHora)</f>
        <v/>
      </c>
      <c r="T53" s="10">
        <f>IF($F53&lt;&gt;"OK","",IF(COUNTIFS($A$2:$A53,$A53,$F$2:$F53,"OK")=1,MAX($T$1:$T52)+1,""))</f>
        <v/>
      </c>
    </row>
    <row r="54">
      <c r="A54" s="11" t="n"/>
      <c r="B54" s="11" t="n"/>
      <c r="C54" s="11" t="n"/>
      <c r="D54" s="11" t="n"/>
      <c r="E54" s="11" t="n"/>
      <c r="F54" s="10">
        <f>IF(AND($A54="",$B54="",$C54=""),"",IF($A54="","⚠ Falta hito",IF(ISNA(MATCH($C54,Cat_Nombre,0)),"⚠ Categoría inválida","OK")))</f>
        <v/>
      </c>
      <c r="G54" s="16">
        <f>IF($F54&lt;&gt;"OK","",IF(UPPER(TRIM($D54))="NO",INDEX(Cat_HMax,MATCH($C54,Cat_Nombre,0)),INDEX(Cat_HMin,MATCH($C54,Cat_Nombre,0))))</f>
        <v/>
      </c>
      <c r="H54" s="16">
        <f>IF($F54&lt;&gt;"OK","",INDEX(Cat_HMax,MATCH($C54,Cat_Nombre,0)))</f>
        <v/>
      </c>
      <c r="I54" s="16">
        <f>IF($F54&lt;&gt;"OK","",(G54+H54)/2)</f>
        <v/>
      </c>
      <c r="J54" s="16">
        <f>IF($F54&lt;&gt;"OK","",G54/HorasDia)</f>
        <v/>
      </c>
      <c r="K54" s="16">
        <f>IF($F54&lt;&gt;"OK","",I54/HorasDia)</f>
        <v/>
      </c>
      <c r="L54" s="16">
        <f>IF($F54&lt;&gt;"OK","",H54/HorasDia)</f>
        <v/>
      </c>
      <c r="M54" s="17">
        <f>IF($F54&lt;&gt;"OK","",IF(UPPER(TRIM($D54))="NO",INDEX(Cat_TMax,MATCH($C54,Cat_Nombre,0)),INDEX(Cat_TMin,MATCH($C54,Cat_Nombre,0))))</f>
        <v/>
      </c>
      <c r="N54" s="17">
        <f>IF($F54&lt;&gt;"OK","",INDEX(Cat_TMax,MATCH($C54,Cat_Nombre,0)))</f>
        <v/>
      </c>
      <c r="O54" s="18">
        <f>IF($F54&lt;&gt;"OK","",INDEX(Cat_POpus,MATCH($C54,Cat_Nombre,0)))</f>
        <v/>
      </c>
      <c r="P54" s="19">
        <f>IF($F54&lt;&gt;"OK","",M54/1000000*((1-O54)*UsdM_Sonnet+O54*UsdM_Opus))</f>
        <v/>
      </c>
      <c r="Q54" s="19">
        <f>IF($F54&lt;&gt;"OK","",N54/1000000*((1-O54)*UsdM_Sonnet+O54*UsdM_Opus))</f>
        <v/>
      </c>
      <c r="R54" s="19">
        <f>IF($F54&lt;&gt;"OK","",G54*TarifaHora)</f>
        <v/>
      </c>
      <c r="S54" s="19">
        <f>IF($F54&lt;&gt;"OK","",H54*TarifaHora)</f>
        <v/>
      </c>
      <c r="T54" s="10">
        <f>IF($F54&lt;&gt;"OK","",IF(COUNTIFS($A$2:$A54,$A54,$F$2:$F54,"OK")=1,MAX($T$1:$T53)+1,""))</f>
        <v/>
      </c>
    </row>
    <row r="55">
      <c r="A55" s="11" t="n"/>
      <c r="B55" s="11" t="n"/>
      <c r="C55" s="11" t="n"/>
      <c r="D55" s="11" t="n"/>
      <c r="E55" s="11" t="n"/>
      <c r="F55" s="10">
        <f>IF(AND($A55="",$B55="",$C55=""),"",IF($A55="","⚠ Falta hito",IF(ISNA(MATCH($C55,Cat_Nombre,0)),"⚠ Categoría inválida","OK")))</f>
        <v/>
      </c>
      <c r="G55" s="16">
        <f>IF($F55&lt;&gt;"OK","",IF(UPPER(TRIM($D55))="NO",INDEX(Cat_HMax,MATCH($C55,Cat_Nombre,0)),INDEX(Cat_HMin,MATCH($C55,Cat_Nombre,0))))</f>
        <v/>
      </c>
      <c r="H55" s="16">
        <f>IF($F55&lt;&gt;"OK","",INDEX(Cat_HMax,MATCH($C55,Cat_Nombre,0)))</f>
        <v/>
      </c>
      <c r="I55" s="16">
        <f>IF($F55&lt;&gt;"OK","",(G55+H55)/2)</f>
        <v/>
      </c>
      <c r="J55" s="16">
        <f>IF($F55&lt;&gt;"OK","",G55/HorasDia)</f>
        <v/>
      </c>
      <c r="K55" s="16">
        <f>IF($F55&lt;&gt;"OK","",I55/HorasDia)</f>
        <v/>
      </c>
      <c r="L55" s="16">
        <f>IF($F55&lt;&gt;"OK","",H55/HorasDia)</f>
        <v/>
      </c>
      <c r="M55" s="17">
        <f>IF($F55&lt;&gt;"OK","",IF(UPPER(TRIM($D55))="NO",INDEX(Cat_TMax,MATCH($C55,Cat_Nombre,0)),INDEX(Cat_TMin,MATCH($C55,Cat_Nombre,0))))</f>
        <v/>
      </c>
      <c r="N55" s="17">
        <f>IF($F55&lt;&gt;"OK","",INDEX(Cat_TMax,MATCH($C55,Cat_Nombre,0)))</f>
        <v/>
      </c>
      <c r="O55" s="18">
        <f>IF($F55&lt;&gt;"OK","",INDEX(Cat_POpus,MATCH($C55,Cat_Nombre,0)))</f>
        <v/>
      </c>
      <c r="P55" s="19">
        <f>IF($F55&lt;&gt;"OK","",M55/1000000*((1-O55)*UsdM_Sonnet+O55*UsdM_Opus))</f>
        <v/>
      </c>
      <c r="Q55" s="19">
        <f>IF($F55&lt;&gt;"OK","",N55/1000000*((1-O55)*UsdM_Sonnet+O55*UsdM_Opus))</f>
        <v/>
      </c>
      <c r="R55" s="19">
        <f>IF($F55&lt;&gt;"OK","",G55*TarifaHora)</f>
        <v/>
      </c>
      <c r="S55" s="19">
        <f>IF($F55&lt;&gt;"OK","",H55*TarifaHora)</f>
        <v/>
      </c>
      <c r="T55" s="10">
        <f>IF($F55&lt;&gt;"OK","",IF(COUNTIFS($A$2:$A55,$A55,$F$2:$F55,"OK")=1,MAX($T$1:$T54)+1,""))</f>
        <v/>
      </c>
    </row>
    <row r="56">
      <c r="A56" s="11" t="n"/>
      <c r="B56" s="11" t="n"/>
      <c r="C56" s="11" t="n"/>
      <c r="D56" s="11" t="n"/>
      <c r="E56" s="11" t="n"/>
      <c r="F56" s="10">
        <f>IF(AND($A56="",$B56="",$C56=""),"",IF($A56="","⚠ Falta hito",IF(ISNA(MATCH($C56,Cat_Nombre,0)),"⚠ Categoría inválida","OK")))</f>
        <v/>
      </c>
      <c r="G56" s="16">
        <f>IF($F56&lt;&gt;"OK","",IF(UPPER(TRIM($D56))="NO",INDEX(Cat_HMax,MATCH($C56,Cat_Nombre,0)),INDEX(Cat_HMin,MATCH($C56,Cat_Nombre,0))))</f>
        <v/>
      </c>
      <c r="H56" s="16">
        <f>IF($F56&lt;&gt;"OK","",INDEX(Cat_HMax,MATCH($C56,Cat_Nombre,0)))</f>
        <v/>
      </c>
      <c r="I56" s="16">
        <f>IF($F56&lt;&gt;"OK","",(G56+H56)/2)</f>
        <v/>
      </c>
      <c r="J56" s="16">
        <f>IF($F56&lt;&gt;"OK","",G56/HorasDia)</f>
        <v/>
      </c>
      <c r="K56" s="16">
        <f>IF($F56&lt;&gt;"OK","",I56/HorasDia)</f>
        <v/>
      </c>
      <c r="L56" s="16">
        <f>IF($F56&lt;&gt;"OK","",H56/HorasDia)</f>
        <v/>
      </c>
      <c r="M56" s="17">
        <f>IF($F56&lt;&gt;"OK","",IF(UPPER(TRIM($D56))="NO",INDEX(Cat_TMax,MATCH($C56,Cat_Nombre,0)),INDEX(Cat_TMin,MATCH($C56,Cat_Nombre,0))))</f>
        <v/>
      </c>
      <c r="N56" s="17">
        <f>IF($F56&lt;&gt;"OK","",INDEX(Cat_TMax,MATCH($C56,Cat_Nombre,0)))</f>
        <v/>
      </c>
      <c r="O56" s="18">
        <f>IF($F56&lt;&gt;"OK","",INDEX(Cat_POpus,MATCH($C56,Cat_Nombre,0)))</f>
        <v/>
      </c>
      <c r="P56" s="19">
        <f>IF($F56&lt;&gt;"OK","",M56/1000000*((1-O56)*UsdM_Sonnet+O56*UsdM_Opus))</f>
        <v/>
      </c>
      <c r="Q56" s="19">
        <f>IF($F56&lt;&gt;"OK","",N56/1000000*((1-O56)*UsdM_Sonnet+O56*UsdM_Opus))</f>
        <v/>
      </c>
      <c r="R56" s="19">
        <f>IF($F56&lt;&gt;"OK","",G56*TarifaHora)</f>
        <v/>
      </c>
      <c r="S56" s="19">
        <f>IF($F56&lt;&gt;"OK","",H56*TarifaHora)</f>
        <v/>
      </c>
      <c r="T56" s="10">
        <f>IF($F56&lt;&gt;"OK","",IF(COUNTIFS($A$2:$A56,$A56,$F$2:$F56,"OK")=1,MAX($T$1:$T55)+1,""))</f>
        <v/>
      </c>
    </row>
    <row r="57">
      <c r="A57" s="11" t="n"/>
      <c r="B57" s="11" t="n"/>
      <c r="C57" s="11" t="n"/>
      <c r="D57" s="11" t="n"/>
      <c r="E57" s="11" t="n"/>
      <c r="F57" s="10">
        <f>IF(AND($A57="",$B57="",$C57=""),"",IF($A57="","⚠ Falta hito",IF(ISNA(MATCH($C57,Cat_Nombre,0)),"⚠ Categoría inválida","OK")))</f>
        <v/>
      </c>
      <c r="G57" s="16">
        <f>IF($F57&lt;&gt;"OK","",IF(UPPER(TRIM($D57))="NO",INDEX(Cat_HMax,MATCH($C57,Cat_Nombre,0)),INDEX(Cat_HMin,MATCH($C57,Cat_Nombre,0))))</f>
        <v/>
      </c>
      <c r="H57" s="16">
        <f>IF($F57&lt;&gt;"OK","",INDEX(Cat_HMax,MATCH($C57,Cat_Nombre,0)))</f>
        <v/>
      </c>
      <c r="I57" s="16">
        <f>IF($F57&lt;&gt;"OK","",(G57+H57)/2)</f>
        <v/>
      </c>
      <c r="J57" s="16">
        <f>IF($F57&lt;&gt;"OK","",G57/HorasDia)</f>
        <v/>
      </c>
      <c r="K57" s="16">
        <f>IF($F57&lt;&gt;"OK","",I57/HorasDia)</f>
        <v/>
      </c>
      <c r="L57" s="16">
        <f>IF($F57&lt;&gt;"OK","",H57/HorasDia)</f>
        <v/>
      </c>
      <c r="M57" s="17">
        <f>IF($F57&lt;&gt;"OK","",IF(UPPER(TRIM($D57))="NO",INDEX(Cat_TMax,MATCH($C57,Cat_Nombre,0)),INDEX(Cat_TMin,MATCH($C57,Cat_Nombre,0))))</f>
        <v/>
      </c>
      <c r="N57" s="17">
        <f>IF($F57&lt;&gt;"OK","",INDEX(Cat_TMax,MATCH($C57,Cat_Nombre,0)))</f>
        <v/>
      </c>
      <c r="O57" s="18">
        <f>IF($F57&lt;&gt;"OK","",INDEX(Cat_POpus,MATCH($C57,Cat_Nombre,0)))</f>
        <v/>
      </c>
      <c r="P57" s="19">
        <f>IF($F57&lt;&gt;"OK","",M57/1000000*((1-O57)*UsdM_Sonnet+O57*UsdM_Opus))</f>
        <v/>
      </c>
      <c r="Q57" s="19">
        <f>IF($F57&lt;&gt;"OK","",N57/1000000*((1-O57)*UsdM_Sonnet+O57*UsdM_Opus))</f>
        <v/>
      </c>
      <c r="R57" s="19">
        <f>IF($F57&lt;&gt;"OK","",G57*TarifaHora)</f>
        <v/>
      </c>
      <c r="S57" s="19">
        <f>IF($F57&lt;&gt;"OK","",H57*TarifaHora)</f>
        <v/>
      </c>
      <c r="T57" s="10">
        <f>IF($F57&lt;&gt;"OK","",IF(COUNTIFS($A$2:$A57,$A57,$F$2:$F57,"OK")=1,MAX($T$1:$T56)+1,""))</f>
        <v/>
      </c>
    </row>
    <row r="58">
      <c r="A58" s="11" t="n"/>
      <c r="B58" s="11" t="n"/>
      <c r="C58" s="11" t="n"/>
      <c r="D58" s="11" t="n"/>
      <c r="E58" s="11" t="n"/>
      <c r="F58" s="10">
        <f>IF(AND($A58="",$B58="",$C58=""),"",IF($A58="","⚠ Falta hito",IF(ISNA(MATCH($C58,Cat_Nombre,0)),"⚠ Categoría inválida","OK")))</f>
        <v/>
      </c>
      <c r="G58" s="16">
        <f>IF($F58&lt;&gt;"OK","",IF(UPPER(TRIM($D58))="NO",INDEX(Cat_HMax,MATCH($C58,Cat_Nombre,0)),INDEX(Cat_HMin,MATCH($C58,Cat_Nombre,0))))</f>
        <v/>
      </c>
      <c r="H58" s="16">
        <f>IF($F58&lt;&gt;"OK","",INDEX(Cat_HMax,MATCH($C58,Cat_Nombre,0)))</f>
        <v/>
      </c>
      <c r="I58" s="16">
        <f>IF($F58&lt;&gt;"OK","",(G58+H58)/2)</f>
        <v/>
      </c>
      <c r="J58" s="16">
        <f>IF($F58&lt;&gt;"OK","",G58/HorasDia)</f>
        <v/>
      </c>
      <c r="K58" s="16">
        <f>IF($F58&lt;&gt;"OK","",I58/HorasDia)</f>
        <v/>
      </c>
      <c r="L58" s="16">
        <f>IF($F58&lt;&gt;"OK","",H58/HorasDia)</f>
        <v/>
      </c>
      <c r="M58" s="17">
        <f>IF($F58&lt;&gt;"OK","",IF(UPPER(TRIM($D58))="NO",INDEX(Cat_TMax,MATCH($C58,Cat_Nombre,0)),INDEX(Cat_TMin,MATCH($C58,Cat_Nombre,0))))</f>
        <v/>
      </c>
      <c r="N58" s="17">
        <f>IF($F58&lt;&gt;"OK","",INDEX(Cat_TMax,MATCH($C58,Cat_Nombre,0)))</f>
        <v/>
      </c>
      <c r="O58" s="18">
        <f>IF($F58&lt;&gt;"OK","",INDEX(Cat_POpus,MATCH($C58,Cat_Nombre,0)))</f>
        <v/>
      </c>
      <c r="P58" s="19">
        <f>IF($F58&lt;&gt;"OK","",M58/1000000*((1-O58)*UsdM_Sonnet+O58*UsdM_Opus))</f>
        <v/>
      </c>
      <c r="Q58" s="19">
        <f>IF($F58&lt;&gt;"OK","",N58/1000000*((1-O58)*UsdM_Sonnet+O58*UsdM_Opus))</f>
        <v/>
      </c>
      <c r="R58" s="19">
        <f>IF($F58&lt;&gt;"OK","",G58*TarifaHora)</f>
        <v/>
      </c>
      <c r="S58" s="19">
        <f>IF($F58&lt;&gt;"OK","",H58*TarifaHora)</f>
        <v/>
      </c>
      <c r="T58" s="10">
        <f>IF($F58&lt;&gt;"OK","",IF(COUNTIFS($A$2:$A58,$A58,$F$2:$F58,"OK")=1,MAX($T$1:$T57)+1,""))</f>
        <v/>
      </c>
    </row>
    <row r="59">
      <c r="A59" s="11" t="n"/>
      <c r="B59" s="11" t="n"/>
      <c r="C59" s="11" t="n"/>
      <c r="D59" s="11" t="n"/>
      <c r="E59" s="11" t="n"/>
      <c r="F59" s="10">
        <f>IF(AND($A59="",$B59="",$C59=""),"",IF($A59="","⚠ Falta hito",IF(ISNA(MATCH($C59,Cat_Nombre,0)),"⚠ Categoría inválida","OK")))</f>
        <v/>
      </c>
      <c r="G59" s="16">
        <f>IF($F59&lt;&gt;"OK","",IF(UPPER(TRIM($D59))="NO",INDEX(Cat_HMax,MATCH($C59,Cat_Nombre,0)),INDEX(Cat_HMin,MATCH($C59,Cat_Nombre,0))))</f>
        <v/>
      </c>
      <c r="H59" s="16">
        <f>IF($F59&lt;&gt;"OK","",INDEX(Cat_HMax,MATCH($C59,Cat_Nombre,0)))</f>
        <v/>
      </c>
      <c r="I59" s="16">
        <f>IF($F59&lt;&gt;"OK","",(G59+H59)/2)</f>
        <v/>
      </c>
      <c r="J59" s="16">
        <f>IF($F59&lt;&gt;"OK","",G59/HorasDia)</f>
        <v/>
      </c>
      <c r="K59" s="16">
        <f>IF($F59&lt;&gt;"OK","",I59/HorasDia)</f>
        <v/>
      </c>
      <c r="L59" s="16">
        <f>IF($F59&lt;&gt;"OK","",H59/HorasDia)</f>
        <v/>
      </c>
      <c r="M59" s="17">
        <f>IF($F59&lt;&gt;"OK","",IF(UPPER(TRIM($D59))="NO",INDEX(Cat_TMax,MATCH($C59,Cat_Nombre,0)),INDEX(Cat_TMin,MATCH($C59,Cat_Nombre,0))))</f>
        <v/>
      </c>
      <c r="N59" s="17">
        <f>IF($F59&lt;&gt;"OK","",INDEX(Cat_TMax,MATCH($C59,Cat_Nombre,0)))</f>
        <v/>
      </c>
      <c r="O59" s="18">
        <f>IF($F59&lt;&gt;"OK","",INDEX(Cat_POpus,MATCH($C59,Cat_Nombre,0)))</f>
        <v/>
      </c>
      <c r="P59" s="19">
        <f>IF($F59&lt;&gt;"OK","",M59/1000000*((1-O59)*UsdM_Sonnet+O59*UsdM_Opus))</f>
        <v/>
      </c>
      <c r="Q59" s="19">
        <f>IF($F59&lt;&gt;"OK","",N59/1000000*((1-O59)*UsdM_Sonnet+O59*UsdM_Opus))</f>
        <v/>
      </c>
      <c r="R59" s="19">
        <f>IF($F59&lt;&gt;"OK","",G59*TarifaHora)</f>
        <v/>
      </c>
      <c r="S59" s="19">
        <f>IF($F59&lt;&gt;"OK","",H59*TarifaHora)</f>
        <v/>
      </c>
      <c r="T59" s="10">
        <f>IF($F59&lt;&gt;"OK","",IF(COUNTIFS($A$2:$A59,$A59,$F$2:$F59,"OK")=1,MAX($T$1:$T58)+1,""))</f>
        <v/>
      </c>
    </row>
    <row r="60">
      <c r="A60" s="11" t="n"/>
      <c r="B60" s="11" t="n"/>
      <c r="C60" s="11" t="n"/>
      <c r="D60" s="11" t="n"/>
      <c r="E60" s="11" t="n"/>
      <c r="F60" s="10">
        <f>IF(AND($A60="",$B60="",$C60=""),"",IF($A60="","⚠ Falta hito",IF(ISNA(MATCH($C60,Cat_Nombre,0)),"⚠ Categoría inválida","OK")))</f>
        <v/>
      </c>
      <c r="G60" s="16">
        <f>IF($F60&lt;&gt;"OK","",IF(UPPER(TRIM($D60))="NO",INDEX(Cat_HMax,MATCH($C60,Cat_Nombre,0)),INDEX(Cat_HMin,MATCH($C60,Cat_Nombre,0))))</f>
        <v/>
      </c>
      <c r="H60" s="16">
        <f>IF($F60&lt;&gt;"OK","",INDEX(Cat_HMax,MATCH($C60,Cat_Nombre,0)))</f>
        <v/>
      </c>
      <c r="I60" s="16">
        <f>IF($F60&lt;&gt;"OK","",(G60+H60)/2)</f>
        <v/>
      </c>
      <c r="J60" s="16">
        <f>IF($F60&lt;&gt;"OK","",G60/HorasDia)</f>
        <v/>
      </c>
      <c r="K60" s="16">
        <f>IF($F60&lt;&gt;"OK","",I60/HorasDia)</f>
        <v/>
      </c>
      <c r="L60" s="16">
        <f>IF($F60&lt;&gt;"OK","",H60/HorasDia)</f>
        <v/>
      </c>
      <c r="M60" s="17">
        <f>IF($F60&lt;&gt;"OK","",IF(UPPER(TRIM($D60))="NO",INDEX(Cat_TMax,MATCH($C60,Cat_Nombre,0)),INDEX(Cat_TMin,MATCH($C60,Cat_Nombre,0))))</f>
        <v/>
      </c>
      <c r="N60" s="17">
        <f>IF($F60&lt;&gt;"OK","",INDEX(Cat_TMax,MATCH($C60,Cat_Nombre,0)))</f>
        <v/>
      </c>
      <c r="O60" s="18">
        <f>IF($F60&lt;&gt;"OK","",INDEX(Cat_POpus,MATCH($C60,Cat_Nombre,0)))</f>
        <v/>
      </c>
      <c r="P60" s="19">
        <f>IF($F60&lt;&gt;"OK","",M60/1000000*((1-O60)*UsdM_Sonnet+O60*UsdM_Opus))</f>
        <v/>
      </c>
      <c r="Q60" s="19">
        <f>IF($F60&lt;&gt;"OK","",N60/1000000*((1-O60)*UsdM_Sonnet+O60*UsdM_Opus))</f>
        <v/>
      </c>
      <c r="R60" s="19">
        <f>IF($F60&lt;&gt;"OK","",G60*TarifaHora)</f>
        <v/>
      </c>
      <c r="S60" s="19">
        <f>IF($F60&lt;&gt;"OK","",H60*TarifaHora)</f>
        <v/>
      </c>
      <c r="T60" s="10">
        <f>IF($F60&lt;&gt;"OK","",IF(COUNTIFS($A$2:$A60,$A60,$F$2:$F60,"OK")=1,MAX($T$1:$T59)+1,""))</f>
        <v/>
      </c>
    </row>
    <row r="61">
      <c r="A61" s="11" t="n"/>
      <c r="B61" s="11" t="n"/>
      <c r="C61" s="11" t="n"/>
      <c r="D61" s="11" t="n"/>
      <c r="E61" s="11" t="n"/>
      <c r="F61" s="10">
        <f>IF(AND($A61="",$B61="",$C61=""),"",IF($A61="","⚠ Falta hito",IF(ISNA(MATCH($C61,Cat_Nombre,0)),"⚠ Categoría inválida","OK")))</f>
        <v/>
      </c>
      <c r="G61" s="16">
        <f>IF($F61&lt;&gt;"OK","",IF(UPPER(TRIM($D61))="NO",INDEX(Cat_HMax,MATCH($C61,Cat_Nombre,0)),INDEX(Cat_HMin,MATCH($C61,Cat_Nombre,0))))</f>
        <v/>
      </c>
      <c r="H61" s="16">
        <f>IF($F61&lt;&gt;"OK","",INDEX(Cat_HMax,MATCH($C61,Cat_Nombre,0)))</f>
        <v/>
      </c>
      <c r="I61" s="16">
        <f>IF($F61&lt;&gt;"OK","",(G61+H61)/2)</f>
        <v/>
      </c>
      <c r="J61" s="16">
        <f>IF($F61&lt;&gt;"OK","",G61/HorasDia)</f>
        <v/>
      </c>
      <c r="K61" s="16">
        <f>IF($F61&lt;&gt;"OK","",I61/HorasDia)</f>
        <v/>
      </c>
      <c r="L61" s="16">
        <f>IF($F61&lt;&gt;"OK","",H61/HorasDia)</f>
        <v/>
      </c>
      <c r="M61" s="17">
        <f>IF($F61&lt;&gt;"OK","",IF(UPPER(TRIM($D61))="NO",INDEX(Cat_TMax,MATCH($C61,Cat_Nombre,0)),INDEX(Cat_TMin,MATCH($C61,Cat_Nombre,0))))</f>
        <v/>
      </c>
      <c r="N61" s="17">
        <f>IF($F61&lt;&gt;"OK","",INDEX(Cat_TMax,MATCH($C61,Cat_Nombre,0)))</f>
        <v/>
      </c>
      <c r="O61" s="18">
        <f>IF($F61&lt;&gt;"OK","",INDEX(Cat_POpus,MATCH($C61,Cat_Nombre,0)))</f>
        <v/>
      </c>
      <c r="P61" s="19">
        <f>IF($F61&lt;&gt;"OK","",M61/1000000*((1-O61)*UsdM_Sonnet+O61*UsdM_Opus))</f>
        <v/>
      </c>
      <c r="Q61" s="19">
        <f>IF($F61&lt;&gt;"OK","",N61/1000000*((1-O61)*UsdM_Sonnet+O61*UsdM_Opus))</f>
        <v/>
      </c>
      <c r="R61" s="19">
        <f>IF($F61&lt;&gt;"OK","",G61*TarifaHora)</f>
        <v/>
      </c>
      <c r="S61" s="19">
        <f>IF($F61&lt;&gt;"OK","",H61*TarifaHora)</f>
        <v/>
      </c>
      <c r="T61" s="10">
        <f>IF($F61&lt;&gt;"OK","",IF(COUNTIFS($A$2:$A61,$A61,$F$2:$F61,"OK")=1,MAX($T$1:$T60)+1,""))</f>
        <v/>
      </c>
    </row>
    <row r="62">
      <c r="A62" s="11" t="n"/>
      <c r="B62" s="11" t="n"/>
      <c r="C62" s="11" t="n"/>
      <c r="D62" s="11" t="n"/>
      <c r="E62" s="11" t="n"/>
      <c r="F62" s="10">
        <f>IF(AND($A62="",$B62="",$C62=""),"",IF($A62="","⚠ Falta hito",IF(ISNA(MATCH($C62,Cat_Nombre,0)),"⚠ Categoría inválida","OK")))</f>
        <v/>
      </c>
      <c r="G62" s="16">
        <f>IF($F62&lt;&gt;"OK","",IF(UPPER(TRIM($D62))="NO",INDEX(Cat_HMax,MATCH($C62,Cat_Nombre,0)),INDEX(Cat_HMin,MATCH($C62,Cat_Nombre,0))))</f>
        <v/>
      </c>
      <c r="H62" s="16">
        <f>IF($F62&lt;&gt;"OK","",INDEX(Cat_HMax,MATCH($C62,Cat_Nombre,0)))</f>
        <v/>
      </c>
      <c r="I62" s="16">
        <f>IF($F62&lt;&gt;"OK","",(G62+H62)/2)</f>
        <v/>
      </c>
      <c r="J62" s="16">
        <f>IF($F62&lt;&gt;"OK","",G62/HorasDia)</f>
        <v/>
      </c>
      <c r="K62" s="16">
        <f>IF($F62&lt;&gt;"OK","",I62/HorasDia)</f>
        <v/>
      </c>
      <c r="L62" s="16">
        <f>IF($F62&lt;&gt;"OK","",H62/HorasDia)</f>
        <v/>
      </c>
      <c r="M62" s="17">
        <f>IF($F62&lt;&gt;"OK","",IF(UPPER(TRIM($D62))="NO",INDEX(Cat_TMax,MATCH($C62,Cat_Nombre,0)),INDEX(Cat_TMin,MATCH($C62,Cat_Nombre,0))))</f>
        <v/>
      </c>
      <c r="N62" s="17">
        <f>IF($F62&lt;&gt;"OK","",INDEX(Cat_TMax,MATCH($C62,Cat_Nombre,0)))</f>
        <v/>
      </c>
      <c r="O62" s="18">
        <f>IF($F62&lt;&gt;"OK","",INDEX(Cat_POpus,MATCH($C62,Cat_Nombre,0)))</f>
        <v/>
      </c>
      <c r="P62" s="19">
        <f>IF($F62&lt;&gt;"OK","",M62/1000000*((1-O62)*UsdM_Sonnet+O62*UsdM_Opus))</f>
        <v/>
      </c>
      <c r="Q62" s="19">
        <f>IF($F62&lt;&gt;"OK","",N62/1000000*((1-O62)*UsdM_Sonnet+O62*UsdM_Opus))</f>
        <v/>
      </c>
      <c r="R62" s="19">
        <f>IF($F62&lt;&gt;"OK","",G62*TarifaHora)</f>
        <v/>
      </c>
      <c r="S62" s="19">
        <f>IF($F62&lt;&gt;"OK","",H62*TarifaHora)</f>
        <v/>
      </c>
      <c r="T62" s="10">
        <f>IF($F62&lt;&gt;"OK","",IF(COUNTIFS($A$2:$A62,$A62,$F$2:$F62,"OK")=1,MAX($T$1:$T61)+1,""))</f>
        <v/>
      </c>
    </row>
    <row r="63">
      <c r="A63" s="11" t="n"/>
      <c r="B63" s="11" t="n"/>
      <c r="C63" s="11" t="n"/>
      <c r="D63" s="11" t="n"/>
      <c r="E63" s="11" t="n"/>
      <c r="F63" s="10">
        <f>IF(AND($A63="",$B63="",$C63=""),"",IF($A63="","⚠ Falta hito",IF(ISNA(MATCH($C63,Cat_Nombre,0)),"⚠ Categoría inválida","OK")))</f>
        <v/>
      </c>
      <c r="G63" s="16">
        <f>IF($F63&lt;&gt;"OK","",IF(UPPER(TRIM($D63))="NO",INDEX(Cat_HMax,MATCH($C63,Cat_Nombre,0)),INDEX(Cat_HMin,MATCH($C63,Cat_Nombre,0))))</f>
        <v/>
      </c>
      <c r="H63" s="16">
        <f>IF($F63&lt;&gt;"OK","",INDEX(Cat_HMax,MATCH($C63,Cat_Nombre,0)))</f>
        <v/>
      </c>
      <c r="I63" s="16">
        <f>IF($F63&lt;&gt;"OK","",(G63+H63)/2)</f>
        <v/>
      </c>
      <c r="J63" s="16">
        <f>IF($F63&lt;&gt;"OK","",G63/HorasDia)</f>
        <v/>
      </c>
      <c r="K63" s="16">
        <f>IF($F63&lt;&gt;"OK","",I63/HorasDia)</f>
        <v/>
      </c>
      <c r="L63" s="16">
        <f>IF($F63&lt;&gt;"OK","",H63/HorasDia)</f>
        <v/>
      </c>
      <c r="M63" s="17">
        <f>IF($F63&lt;&gt;"OK","",IF(UPPER(TRIM($D63))="NO",INDEX(Cat_TMax,MATCH($C63,Cat_Nombre,0)),INDEX(Cat_TMin,MATCH($C63,Cat_Nombre,0))))</f>
        <v/>
      </c>
      <c r="N63" s="17">
        <f>IF($F63&lt;&gt;"OK","",INDEX(Cat_TMax,MATCH($C63,Cat_Nombre,0)))</f>
        <v/>
      </c>
      <c r="O63" s="18">
        <f>IF($F63&lt;&gt;"OK","",INDEX(Cat_POpus,MATCH($C63,Cat_Nombre,0)))</f>
        <v/>
      </c>
      <c r="P63" s="19">
        <f>IF($F63&lt;&gt;"OK","",M63/1000000*((1-O63)*UsdM_Sonnet+O63*UsdM_Opus))</f>
        <v/>
      </c>
      <c r="Q63" s="19">
        <f>IF($F63&lt;&gt;"OK","",N63/1000000*((1-O63)*UsdM_Sonnet+O63*UsdM_Opus))</f>
        <v/>
      </c>
      <c r="R63" s="19">
        <f>IF($F63&lt;&gt;"OK","",G63*TarifaHora)</f>
        <v/>
      </c>
      <c r="S63" s="19">
        <f>IF($F63&lt;&gt;"OK","",H63*TarifaHora)</f>
        <v/>
      </c>
      <c r="T63" s="10">
        <f>IF($F63&lt;&gt;"OK","",IF(COUNTIFS($A$2:$A63,$A63,$F$2:$F63,"OK")=1,MAX($T$1:$T62)+1,""))</f>
        <v/>
      </c>
    </row>
    <row r="64">
      <c r="A64" s="11" t="n"/>
      <c r="B64" s="11" t="n"/>
      <c r="C64" s="11" t="n"/>
      <c r="D64" s="11" t="n"/>
      <c r="E64" s="11" t="n"/>
      <c r="F64" s="10">
        <f>IF(AND($A64="",$B64="",$C64=""),"",IF($A64="","⚠ Falta hito",IF(ISNA(MATCH($C64,Cat_Nombre,0)),"⚠ Categoría inválida","OK")))</f>
        <v/>
      </c>
      <c r="G64" s="16">
        <f>IF($F64&lt;&gt;"OK","",IF(UPPER(TRIM($D64))="NO",INDEX(Cat_HMax,MATCH($C64,Cat_Nombre,0)),INDEX(Cat_HMin,MATCH($C64,Cat_Nombre,0))))</f>
        <v/>
      </c>
      <c r="H64" s="16">
        <f>IF($F64&lt;&gt;"OK","",INDEX(Cat_HMax,MATCH($C64,Cat_Nombre,0)))</f>
        <v/>
      </c>
      <c r="I64" s="16">
        <f>IF($F64&lt;&gt;"OK","",(G64+H64)/2)</f>
        <v/>
      </c>
      <c r="J64" s="16">
        <f>IF($F64&lt;&gt;"OK","",G64/HorasDia)</f>
        <v/>
      </c>
      <c r="K64" s="16">
        <f>IF($F64&lt;&gt;"OK","",I64/HorasDia)</f>
        <v/>
      </c>
      <c r="L64" s="16">
        <f>IF($F64&lt;&gt;"OK","",H64/HorasDia)</f>
        <v/>
      </c>
      <c r="M64" s="17">
        <f>IF($F64&lt;&gt;"OK","",IF(UPPER(TRIM($D64))="NO",INDEX(Cat_TMax,MATCH($C64,Cat_Nombre,0)),INDEX(Cat_TMin,MATCH($C64,Cat_Nombre,0))))</f>
        <v/>
      </c>
      <c r="N64" s="17">
        <f>IF($F64&lt;&gt;"OK","",INDEX(Cat_TMax,MATCH($C64,Cat_Nombre,0)))</f>
        <v/>
      </c>
      <c r="O64" s="18">
        <f>IF($F64&lt;&gt;"OK","",INDEX(Cat_POpus,MATCH($C64,Cat_Nombre,0)))</f>
        <v/>
      </c>
      <c r="P64" s="19">
        <f>IF($F64&lt;&gt;"OK","",M64/1000000*((1-O64)*UsdM_Sonnet+O64*UsdM_Opus))</f>
        <v/>
      </c>
      <c r="Q64" s="19">
        <f>IF($F64&lt;&gt;"OK","",N64/1000000*((1-O64)*UsdM_Sonnet+O64*UsdM_Opus))</f>
        <v/>
      </c>
      <c r="R64" s="19">
        <f>IF($F64&lt;&gt;"OK","",G64*TarifaHora)</f>
        <v/>
      </c>
      <c r="S64" s="19">
        <f>IF($F64&lt;&gt;"OK","",H64*TarifaHora)</f>
        <v/>
      </c>
      <c r="T64" s="10">
        <f>IF($F64&lt;&gt;"OK","",IF(COUNTIFS($A$2:$A64,$A64,$F$2:$F64,"OK")=1,MAX($T$1:$T63)+1,""))</f>
        <v/>
      </c>
    </row>
    <row r="65">
      <c r="A65" s="11" t="n"/>
      <c r="B65" s="11" t="n"/>
      <c r="C65" s="11" t="n"/>
      <c r="D65" s="11" t="n"/>
      <c r="E65" s="11" t="n"/>
      <c r="F65" s="10">
        <f>IF(AND($A65="",$B65="",$C65=""),"",IF($A65="","⚠ Falta hito",IF(ISNA(MATCH($C65,Cat_Nombre,0)),"⚠ Categoría inválida","OK")))</f>
        <v/>
      </c>
      <c r="G65" s="16">
        <f>IF($F65&lt;&gt;"OK","",IF(UPPER(TRIM($D65))="NO",INDEX(Cat_HMax,MATCH($C65,Cat_Nombre,0)),INDEX(Cat_HMin,MATCH($C65,Cat_Nombre,0))))</f>
        <v/>
      </c>
      <c r="H65" s="16">
        <f>IF($F65&lt;&gt;"OK","",INDEX(Cat_HMax,MATCH($C65,Cat_Nombre,0)))</f>
        <v/>
      </c>
      <c r="I65" s="16">
        <f>IF($F65&lt;&gt;"OK","",(G65+H65)/2)</f>
        <v/>
      </c>
      <c r="J65" s="16">
        <f>IF($F65&lt;&gt;"OK","",G65/HorasDia)</f>
        <v/>
      </c>
      <c r="K65" s="16">
        <f>IF($F65&lt;&gt;"OK","",I65/HorasDia)</f>
        <v/>
      </c>
      <c r="L65" s="16">
        <f>IF($F65&lt;&gt;"OK","",H65/HorasDia)</f>
        <v/>
      </c>
      <c r="M65" s="17">
        <f>IF($F65&lt;&gt;"OK","",IF(UPPER(TRIM($D65))="NO",INDEX(Cat_TMax,MATCH($C65,Cat_Nombre,0)),INDEX(Cat_TMin,MATCH($C65,Cat_Nombre,0))))</f>
        <v/>
      </c>
      <c r="N65" s="17">
        <f>IF($F65&lt;&gt;"OK","",INDEX(Cat_TMax,MATCH($C65,Cat_Nombre,0)))</f>
        <v/>
      </c>
      <c r="O65" s="18">
        <f>IF($F65&lt;&gt;"OK","",INDEX(Cat_POpus,MATCH($C65,Cat_Nombre,0)))</f>
        <v/>
      </c>
      <c r="P65" s="19">
        <f>IF($F65&lt;&gt;"OK","",M65/1000000*((1-O65)*UsdM_Sonnet+O65*UsdM_Opus))</f>
        <v/>
      </c>
      <c r="Q65" s="19">
        <f>IF($F65&lt;&gt;"OK","",N65/1000000*((1-O65)*UsdM_Sonnet+O65*UsdM_Opus))</f>
        <v/>
      </c>
      <c r="R65" s="19">
        <f>IF($F65&lt;&gt;"OK","",G65*TarifaHora)</f>
        <v/>
      </c>
      <c r="S65" s="19">
        <f>IF($F65&lt;&gt;"OK","",H65*TarifaHora)</f>
        <v/>
      </c>
      <c r="T65" s="10">
        <f>IF($F65&lt;&gt;"OK","",IF(COUNTIFS($A$2:$A65,$A65,$F$2:$F65,"OK")=1,MAX($T$1:$T64)+1,""))</f>
        <v/>
      </c>
    </row>
    <row r="66">
      <c r="A66" s="11" t="n"/>
      <c r="B66" s="11" t="n"/>
      <c r="C66" s="11" t="n"/>
      <c r="D66" s="11" t="n"/>
      <c r="E66" s="11" t="n"/>
      <c r="F66" s="10">
        <f>IF(AND($A66="",$B66="",$C66=""),"",IF($A66="","⚠ Falta hito",IF(ISNA(MATCH($C66,Cat_Nombre,0)),"⚠ Categoría inválida","OK")))</f>
        <v/>
      </c>
      <c r="G66" s="16">
        <f>IF($F66&lt;&gt;"OK","",IF(UPPER(TRIM($D66))="NO",INDEX(Cat_HMax,MATCH($C66,Cat_Nombre,0)),INDEX(Cat_HMin,MATCH($C66,Cat_Nombre,0))))</f>
        <v/>
      </c>
      <c r="H66" s="16">
        <f>IF($F66&lt;&gt;"OK","",INDEX(Cat_HMax,MATCH($C66,Cat_Nombre,0)))</f>
        <v/>
      </c>
      <c r="I66" s="16">
        <f>IF($F66&lt;&gt;"OK","",(G66+H66)/2)</f>
        <v/>
      </c>
      <c r="J66" s="16">
        <f>IF($F66&lt;&gt;"OK","",G66/HorasDia)</f>
        <v/>
      </c>
      <c r="K66" s="16">
        <f>IF($F66&lt;&gt;"OK","",I66/HorasDia)</f>
        <v/>
      </c>
      <c r="L66" s="16">
        <f>IF($F66&lt;&gt;"OK","",H66/HorasDia)</f>
        <v/>
      </c>
      <c r="M66" s="17">
        <f>IF($F66&lt;&gt;"OK","",IF(UPPER(TRIM($D66))="NO",INDEX(Cat_TMax,MATCH($C66,Cat_Nombre,0)),INDEX(Cat_TMin,MATCH($C66,Cat_Nombre,0))))</f>
        <v/>
      </c>
      <c r="N66" s="17">
        <f>IF($F66&lt;&gt;"OK","",INDEX(Cat_TMax,MATCH($C66,Cat_Nombre,0)))</f>
        <v/>
      </c>
      <c r="O66" s="18">
        <f>IF($F66&lt;&gt;"OK","",INDEX(Cat_POpus,MATCH($C66,Cat_Nombre,0)))</f>
        <v/>
      </c>
      <c r="P66" s="19">
        <f>IF($F66&lt;&gt;"OK","",M66/1000000*((1-O66)*UsdM_Sonnet+O66*UsdM_Opus))</f>
        <v/>
      </c>
      <c r="Q66" s="19">
        <f>IF($F66&lt;&gt;"OK","",N66/1000000*((1-O66)*UsdM_Sonnet+O66*UsdM_Opus))</f>
        <v/>
      </c>
      <c r="R66" s="19">
        <f>IF($F66&lt;&gt;"OK","",G66*TarifaHora)</f>
        <v/>
      </c>
      <c r="S66" s="19">
        <f>IF($F66&lt;&gt;"OK","",H66*TarifaHora)</f>
        <v/>
      </c>
      <c r="T66" s="10">
        <f>IF($F66&lt;&gt;"OK","",IF(COUNTIFS($A$2:$A66,$A66,$F$2:$F66,"OK")=1,MAX($T$1:$T65)+1,""))</f>
        <v/>
      </c>
    </row>
    <row r="67">
      <c r="A67" s="11" t="n"/>
      <c r="B67" s="11" t="n"/>
      <c r="C67" s="11" t="n"/>
      <c r="D67" s="11" t="n"/>
      <c r="E67" s="11" t="n"/>
      <c r="F67" s="10">
        <f>IF(AND($A67="",$B67="",$C67=""),"",IF($A67="","⚠ Falta hito",IF(ISNA(MATCH($C67,Cat_Nombre,0)),"⚠ Categoría inválida","OK")))</f>
        <v/>
      </c>
      <c r="G67" s="16">
        <f>IF($F67&lt;&gt;"OK","",IF(UPPER(TRIM($D67))="NO",INDEX(Cat_HMax,MATCH($C67,Cat_Nombre,0)),INDEX(Cat_HMin,MATCH($C67,Cat_Nombre,0))))</f>
        <v/>
      </c>
      <c r="H67" s="16">
        <f>IF($F67&lt;&gt;"OK","",INDEX(Cat_HMax,MATCH($C67,Cat_Nombre,0)))</f>
        <v/>
      </c>
      <c r="I67" s="16">
        <f>IF($F67&lt;&gt;"OK","",(G67+H67)/2)</f>
        <v/>
      </c>
      <c r="J67" s="16">
        <f>IF($F67&lt;&gt;"OK","",G67/HorasDia)</f>
        <v/>
      </c>
      <c r="K67" s="16">
        <f>IF($F67&lt;&gt;"OK","",I67/HorasDia)</f>
        <v/>
      </c>
      <c r="L67" s="16">
        <f>IF($F67&lt;&gt;"OK","",H67/HorasDia)</f>
        <v/>
      </c>
      <c r="M67" s="17">
        <f>IF($F67&lt;&gt;"OK","",IF(UPPER(TRIM($D67))="NO",INDEX(Cat_TMax,MATCH($C67,Cat_Nombre,0)),INDEX(Cat_TMin,MATCH($C67,Cat_Nombre,0))))</f>
        <v/>
      </c>
      <c r="N67" s="17">
        <f>IF($F67&lt;&gt;"OK","",INDEX(Cat_TMax,MATCH($C67,Cat_Nombre,0)))</f>
        <v/>
      </c>
      <c r="O67" s="18">
        <f>IF($F67&lt;&gt;"OK","",INDEX(Cat_POpus,MATCH($C67,Cat_Nombre,0)))</f>
        <v/>
      </c>
      <c r="P67" s="19">
        <f>IF($F67&lt;&gt;"OK","",M67/1000000*((1-O67)*UsdM_Sonnet+O67*UsdM_Opus))</f>
        <v/>
      </c>
      <c r="Q67" s="19">
        <f>IF($F67&lt;&gt;"OK","",N67/1000000*((1-O67)*UsdM_Sonnet+O67*UsdM_Opus))</f>
        <v/>
      </c>
      <c r="R67" s="19">
        <f>IF($F67&lt;&gt;"OK","",G67*TarifaHora)</f>
        <v/>
      </c>
      <c r="S67" s="19">
        <f>IF($F67&lt;&gt;"OK","",H67*TarifaHora)</f>
        <v/>
      </c>
      <c r="T67" s="10">
        <f>IF($F67&lt;&gt;"OK","",IF(COUNTIFS($A$2:$A67,$A67,$F$2:$F67,"OK")=1,MAX($T$1:$T66)+1,""))</f>
        <v/>
      </c>
    </row>
    <row r="68">
      <c r="A68" s="11" t="n"/>
      <c r="B68" s="11" t="n"/>
      <c r="C68" s="11" t="n"/>
      <c r="D68" s="11" t="n"/>
      <c r="E68" s="11" t="n"/>
      <c r="F68" s="10">
        <f>IF(AND($A68="",$B68="",$C68=""),"",IF($A68="","⚠ Falta hito",IF(ISNA(MATCH($C68,Cat_Nombre,0)),"⚠ Categoría inválida","OK")))</f>
        <v/>
      </c>
      <c r="G68" s="16">
        <f>IF($F68&lt;&gt;"OK","",IF(UPPER(TRIM($D68))="NO",INDEX(Cat_HMax,MATCH($C68,Cat_Nombre,0)),INDEX(Cat_HMin,MATCH($C68,Cat_Nombre,0))))</f>
        <v/>
      </c>
      <c r="H68" s="16">
        <f>IF($F68&lt;&gt;"OK","",INDEX(Cat_HMax,MATCH($C68,Cat_Nombre,0)))</f>
        <v/>
      </c>
      <c r="I68" s="16">
        <f>IF($F68&lt;&gt;"OK","",(G68+H68)/2)</f>
        <v/>
      </c>
      <c r="J68" s="16">
        <f>IF($F68&lt;&gt;"OK","",G68/HorasDia)</f>
        <v/>
      </c>
      <c r="K68" s="16">
        <f>IF($F68&lt;&gt;"OK","",I68/HorasDia)</f>
        <v/>
      </c>
      <c r="L68" s="16">
        <f>IF($F68&lt;&gt;"OK","",H68/HorasDia)</f>
        <v/>
      </c>
      <c r="M68" s="17">
        <f>IF($F68&lt;&gt;"OK","",IF(UPPER(TRIM($D68))="NO",INDEX(Cat_TMax,MATCH($C68,Cat_Nombre,0)),INDEX(Cat_TMin,MATCH($C68,Cat_Nombre,0))))</f>
        <v/>
      </c>
      <c r="N68" s="17">
        <f>IF($F68&lt;&gt;"OK","",INDEX(Cat_TMax,MATCH($C68,Cat_Nombre,0)))</f>
        <v/>
      </c>
      <c r="O68" s="18">
        <f>IF($F68&lt;&gt;"OK","",INDEX(Cat_POpus,MATCH($C68,Cat_Nombre,0)))</f>
        <v/>
      </c>
      <c r="P68" s="19">
        <f>IF($F68&lt;&gt;"OK","",M68/1000000*((1-O68)*UsdM_Sonnet+O68*UsdM_Opus))</f>
        <v/>
      </c>
      <c r="Q68" s="19">
        <f>IF($F68&lt;&gt;"OK","",N68/1000000*((1-O68)*UsdM_Sonnet+O68*UsdM_Opus))</f>
        <v/>
      </c>
      <c r="R68" s="19">
        <f>IF($F68&lt;&gt;"OK","",G68*TarifaHora)</f>
        <v/>
      </c>
      <c r="S68" s="19">
        <f>IF($F68&lt;&gt;"OK","",H68*TarifaHora)</f>
        <v/>
      </c>
      <c r="T68" s="10">
        <f>IF($F68&lt;&gt;"OK","",IF(COUNTIFS($A$2:$A68,$A68,$F$2:$F68,"OK")=1,MAX($T$1:$T67)+1,""))</f>
        <v/>
      </c>
    </row>
    <row r="69">
      <c r="A69" s="11" t="n"/>
      <c r="B69" s="11" t="n"/>
      <c r="C69" s="11" t="n"/>
      <c r="D69" s="11" t="n"/>
      <c r="E69" s="11" t="n"/>
      <c r="F69" s="10">
        <f>IF(AND($A69="",$B69="",$C69=""),"",IF($A69="","⚠ Falta hito",IF(ISNA(MATCH($C69,Cat_Nombre,0)),"⚠ Categoría inválida","OK")))</f>
        <v/>
      </c>
      <c r="G69" s="16">
        <f>IF($F69&lt;&gt;"OK","",IF(UPPER(TRIM($D69))="NO",INDEX(Cat_HMax,MATCH($C69,Cat_Nombre,0)),INDEX(Cat_HMin,MATCH($C69,Cat_Nombre,0))))</f>
        <v/>
      </c>
      <c r="H69" s="16">
        <f>IF($F69&lt;&gt;"OK","",INDEX(Cat_HMax,MATCH($C69,Cat_Nombre,0)))</f>
        <v/>
      </c>
      <c r="I69" s="16">
        <f>IF($F69&lt;&gt;"OK","",(G69+H69)/2)</f>
        <v/>
      </c>
      <c r="J69" s="16">
        <f>IF($F69&lt;&gt;"OK","",G69/HorasDia)</f>
        <v/>
      </c>
      <c r="K69" s="16">
        <f>IF($F69&lt;&gt;"OK","",I69/HorasDia)</f>
        <v/>
      </c>
      <c r="L69" s="16">
        <f>IF($F69&lt;&gt;"OK","",H69/HorasDia)</f>
        <v/>
      </c>
      <c r="M69" s="17">
        <f>IF($F69&lt;&gt;"OK","",IF(UPPER(TRIM($D69))="NO",INDEX(Cat_TMax,MATCH($C69,Cat_Nombre,0)),INDEX(Cat_TMin,MATCH($C69,Cat_Nombre,0))))</f>
        <v/>
      </c>
      <c r="N69" s="17">
        <f>IF($F69&lt;&gt;"OK","",INDEX(Cat_TMax,MATCH($C69,Cat_Nombre,0)))</f>
        <v/>
      </c>
      <c r="O69" s="18">
        <f>IF($F69&lt;&gt;"OK","",INDEX(Cat_POpus,MATCH($C69,Cat_Nombre,0)))</f>
        <v/>
      </c>
      <c r="P69" s="19">
        <f>IF($F69&lt;&gt;"OK","",M69/1000000*((1-O69)*UsdM_Sonnet+O69*UsdM_Opus))</f>
        <v/>
      </c>
      <c r="Q69" s="19">
        <f>IF($F69&lt;&gt;"OK","",N69/1000000*((1-O69)*UsdM_Sonnet+O69*UsdM_Opus))</f>
        <v/>
      </c>
      <c r="R69" s="19">
        <f>IF($F69&lt;&gt;"OK","",G69*TarifaHora)</f>
        <v/>
      </c>
      <c r="S69" s="19">
        <f>IF($F69&lt;&gt;"OK","",H69*TarifaHora)</f>
        <v/>
      </c>
      <c r="T69" s="10">
        <f>IF($F69&lt;&gt;"OK","",IF(COUNTIFS($A$2:$A69,$A69,$F$2:$F69,"OK")=1,MAX($T$1:$T68)+1,""))</f>
        <v/>
      </c>
    </row>
    <row r="70">
      <c r="A70" s="11" t="n"/>
      <c r="B70" s="11" t="n"/>
      <c r="C70" s="11" t="n"/>
      <c r="D70" s="11" t="n"/>
      <c r="E70" s="11" t="n"/>
      <c r="F70" s="10">
        <f>IF(AND($A70="",$B70="",$C70=""),"",IF($A70="","⚠ Falta hito",IF(ISNA(MATCH($C70,Cat_Nombre,0)),"⚠ Categoría inválida","OK")))</f>
        <v/>
      </c>
      <c r="G70" s="16">
        <f>IF($F70&lt;&gt;"OK","",IF(UPPER(TRIM($D70))="NO",INDEX(Cat_HMax,MATCH($C70,Cat_Nombre,0)),INDEX(Cat_HMin,MATCH($C70,Cat_Nombre,0))))</f>
        <v/>
      </c>
      <c r="H70" s="16">
        <f>IF($F70&lt;&gt;"OK","",INDEX(Cat_HMax,MATCH($C70,Cat_Nombre,0)))</f>
        <v/>
      </c>
      <c r="I70" s="16">
        <f>IF($F70&lt;&gt;"OK","",(G70+H70)/2)</f>
        <v/>
      </c>
      <c r="J70" s="16">
        <f>IF($F70&lt;&gt;"OK","",G70/HorasDia)</f>
        <v/>
      </c>
      <c r="K70" s="16">
        <f>IF($F70&lt;&gt;"OK","",I70/HorasDia)</f>
        <v/>
      </c>
      <c r="L70" s="16">
        <f>IF($F70&lt;&gt;"OK","",H70/HorasDia)</f>
        <v/>
      </c>
      <c r="M70" s="17">
        <f>IF($F70&lt;&gt;"OK","",IF(UPPER(TRIM($D70))="NO",INDEX(Cat_TMax,MATCH($C70,Cat_Nombre,0)),INDEX(Cat_TMin,MATCH($C70,Cat_Nombre,0))))</f>
        <v/>
      </c>
      <c r="N70" s="17">
        <f>IF($F70&lt;&gt;"OK","",INDEX(Cat_TMax,MATCH($C70,Cat_Nombre,0)))</f>
        <v/>
      </c>
      <c r="O70" s="18">
        <f>IF($F70&lt;&gt;"OK","",INDEX(Cat_POpus,MATCH($C70,Cat_Nombre,0)))</f>
        <v/>
      </c>
      <c r="P70" s="19">
        <f>IF($F70&lt;&gt;"OK","",M70/1000000*((1-O70)*UsdM_Sonnet+O70*UsdM_Opus))</f>
        <v/>
      </c>
      <c r="Q70" s="19">
        <f>IF($F70&lt;&gt;"OK","",N70/1000000*((1-O70)*UsdM_Sonnet+O70*UsdM_Opus))</f>
        <v/>
      </c>
      <c r="R70" s="19">
        <f>IF($F70&lt;&gt;"OK","",G70*TarifaHora)</f>
        <v/>
      </c>
      <c r="S70" s="19">
        <f>IF($F70&lt;&gt;"OK","",H70*TarifaHora)</f>
        <v/>
      </c>
      <c r="T70" s="10">
        <f>IF($F70&lt;&gt;"OK","",IF(COUNTIFS($A$2:$A70,$A70,$F$2:$F70,"OK")=1,MAX($T$1:$T69)+1,""))</f>
        <v/>
      </c>
    </row>
    <row r="71">
      <c r="A71" s="11" t="n"/>
      <c r="B71" s="11" t="n"/>
      <c r="C71" s="11" t="n"/>
      <c r="D71" s="11" t="n"/>
      <c r="E71" s="11" t="n"/>
      <c r="F71" s="10">
        <f>IF(AND($A71="",$B71="",$C71=""),"",IF($A71="","⚠ Falta hito",IF(ISNA(MATCH($C71,Cat_Nombre,0)),"⚠ Categoría inválida","OK")))</f>
        <v/>
      </c>
      <c r="G71" s="16">
        <f>IF($F71&lt;&gt;"OK","",IF(UPPER(TRIM($D71))="NO",INDEX(Cat_HMax,MATCH($C71,Cat_Nombre,0)),INDEX(Cat_HMin,MATCH($C71,Cat_Nombre,0))))</f>
        <v/>
      </c>
      <c r="H71" s="16">
        <f>IF($F71&lt;&gt;"OK","",INDEX(Cat_HMax,MATCH($C71,Cat_Nombre,0)))</f>
        <v/>
      </c>
      <c r="I71" s="16">
        <f>IF($F71&lt;&gt;"OK","",(G71+H71)/2)</f>
        <v/>
      </c>
      <c r="J71" s="16">
        <f>IF($F71&lt;&gt;"OK","",G71/HorasDia)</f>
        <v/>
      </c>
      <c r="K71" s="16">
        <f>IF($F71&lt;&gt;"OK","",I71/HorasDia)</f>
        <v/>
      </c>
      <c r="L71" s="16">
        <f>IF($F71&lt;&gt;"OK","",H71/HorasDia)</f>
        <v/>
      </c>
      <c r="M71" s="17">
        <f>IF($F71&lt;&gt;"OK","",IF(UPPER(TRIM($D71))="NO",INDEX(Cat_TMax,MATCH($C71,Cat_Nombre,0)),INDEX(Cat_TMin,MATCH($C71,Cat_Nombre,0))))</f>
        <v/>
      </c>
      <c r="N71" s="17">
        <f>IF($F71&lt;&gt;"OK","",INDEX(Cat_TMax,MATCH($C71,Cat_Nombre,0)))</f>
        <v/>
      </c>
      <c r="O71" s="18">
        <f>IF($F71&lt;&gt;"OK","",INDEX(Cat_POpus,MATCH($C71,Cat_Nombre,0)))</f>
        <v/>
      </c>
      <c r="P71" s="19">
        <f>IF($F71&lt;&gt;"OK","",M71/1000000*((1-O71)*UsdM_Sonnet+O71*UsdM_Opus))</f>
        <v/>
      </c>
      <c r="Q71" s="19">
        <f>IF($F71&lt;&gt;"OK","",N71/1000000*((1-O71)*UsdM_Sonnet+O71*UsdM_Opus))</f>
        <v/>
      </c>
      <c r="R71" s="19">
        <f>IF($F71&lt;&gt;"OK","",G71*TarifaHora)</f>
        <v/>
      </c>
      <c r="S71" s="19">
        <f>IF($F71&lt;&gt;"OK","",H71*TarifaHora)</f>
        <v/>
      </c>
      <c r="T71" s="10">
        <f>IF($F71&lt;&gt;"OK","",IF(COUNTIFS($A$2:$A71,$A71,$F$2:$F71,"OK")=1,MAX($T$1:$T70)+1,""))</f>
        <v/>
      </c>
    </row>
    <row r="72">
      <c r="A72" s="11" t="n"/>
      <c r="B72" s="11" t="n"/>
      <c r="C72" s="11" t="n"/>
      <c r="D72" s="11" t="n"/>
      <c r="E72" s="11" t="n"/>
      <c r="F72" s="10">
        <f>IF(AND($A72="",$B72="",$C72=""),"",IF($A72="","⚠ Falta hito",IF(ISNA(MATCH($C72,Cat_Nombre,0)),"⚠ Categoría inválida","OK")))</f>
        <v/>
      </c>
      <c r="G72" s="16">
        <f>IF($F72&lt;&gt;"OK","",IF(UPPER(TRIM($D72))="NO",INDEX(Cat_HMax,MATCH($C72,Cat_Nombre,0)),INDEX(Cat_HMin,MATCH($C72,Cat_Nombre,0))))</f>
        <v/>
      </c>
      <c r="H72" s="16">
        <f>IF($F72&lt;&gt;"OK","",INDEX(Cat_HMax,MATCH($C72,Cat_Nombre,0)))</f>
        <v/>
      </c>
      <c r="I72" s="16">
        <f>IF($F72&lt;&gt;"OK","",(G72+H72)/2)</f>
        <v/>
      </c>
      <c r="J72" s="16">
        <f>IF($F72&lt;&gt;"OK","",G72/HorasDia)</f>
        <v/>
      </c>
      <c r="K72" s="16">
        <f>IF($F72&lt;&gt;"OK","",I72/HorasDia)</f>
        <v/>
      </c>
      <c r="L72" s="16">
        <f>IF($F72&lt;&gt;"OK","",H72/HorasDia)</f>
        <v/>
      </c>
      <c r="M72" s="17">
        <f>IF($F72&lt;&gt;"OK","",IF(UPPER(TRIM($D72))="NO",INDEX(Cat_TMax,MATCH($C72,Cat_Nombre,0)),INDEX(Cat_TMin,MATCH($C72,Cat_Nombre,0))))</f>
        <v/>
      </c>
      <c r="N72" s="17">
        <f>IF($F72&lt;&gt;"OK","",INDEX(Cat_TMax,MATCH($C72,Cat_Nombre,0)))</f>
        <v/>
      </c>
      <c r="O72" s="18">
        <f>IF($F72&lt;&gt;"OK","",INDEX(Cat_POpus,MATCH($C72,Cat_Nombre,0)))</f>
        <v/>
      </c>
      <c r="P72" s="19">
        <f>IF($F72&lt;&gt;"OK","",M72/1000000*((1-O72)*UsdM_Sonnet+O72*UsdM_Opus))</f>
        <v/>
      </c>
      <c r="Q72" s="19">
        <f>IF($F72&lt;&gt;"OK","",N72/1000000*((1-O72)*UsdM_Sonnet+O72*UsdM_Opus))</f>
        <v/>
      </c>
      <c r="R72" s="19">
        <f>IF($F72&lt;&gt;"OK","",G72*TarifaHora)</f>
        <v/>
      </c>
      <c r="S72" s="19">
        <f>IF($F72&lt;&gt;"OK","",H72*TarifaHora)</f>
        <v/>
      </c>
      <c r="T72" s="10">
        <f>IF($F72&lt;&gt;"OK","",IF(COUNTIFS($A$2:$A72,$A72,$F$2:$F72,"OK")=1,MAX($T$1:$T71)+1,""))</f>
        <v/>
      </c>
    </row>
    <row r="73">
      <c r="A73" s="11" t="n"/>
      <c r="B73" s="11" t="n"/>
      <c r="C73" s="11" t="n"/>
      <c r="D73" s="11" t="n"/>
      <c r="E73" s="11" t="n"/>
      <c r="F73" s="10">
        <f>IF(AND($A73="",$B73="",$C73=""),"",IF($A73="","⚠ Falta hito",IF(ISNA(MATCH($C73,Cat_Nombre,0)),"⚠ Categoría inválida","OK")))</f>
        <v/>
      </c>
      <c r="G73" s="16">
        <f>IF($F73&lt;&gt;"OK","",IF(UPPER(TRIM($D73))="NO",INDEX(Cat_HMax,MATCH($C73,Cat_Nombre,0)),INDEX(Cat_HMin,MATCH($C73,Cat_Nombre,0))))</f>
        <v/>
      </c>
      <c r="H73" s="16">
        <f>IF($F73&lt;&gt;"OK","",INDEX(Cat_HMax,MATCH($C73,Cat_Nombre,0)))</f>
        <v/>
      </c>
      <c r="I73" s="16">
        <f>IF($F73&lt;&gt;"OK","",(G73+H73)/2)</f>
        <v/>
      </c>
      <c r="J73" s="16">
        <f>IF($F73&lt;&gt;"OK","",G73/HorasDia)</f>
        <v/>
      </c>
      <c r="K73" s="16">
        <f>IF($F73&lt;&gt;"OK","",I73/HorasDia)</f>
        <v/>
      </c>
      <c r="L73" s="16">
        <f>IF($F73&lt;&gt;"OK","",H73/HorasDia)</f>
        <v/>
      </c>
      <c r="M73" s="17">
        <f>IF($F73&lt;&gt;"OK","",IF(UPPER(TRIM($D73))="NO",INDEX(Cat_TMax,MATCH($C73,Cat_Nombre,0)),INDEX(Cat_TMin,MATCH($C73,Cat_Nombre,0))))</f>
        <v/>
      </c>
      <c r="N73" s="17">
        <f>IF($F73&lt;&gt;"OK","",INDEX(Cat_TMax,MATCH($C73,Cat_Nombre,0)))</f>
        <v/>
      </c>
      <c r="O73" s="18">
        <f>IF($F73&lt;&gt;"OK","",INDEX(Cat_POpus,MATCH($C73,Cat_Nombre,0)))</f>
        <v/>
      </c>
      <c r="P73" s="19">
        <f>IF($F73&lt;&gt;"OK","",M73/1000000*((1-O73)*UsdM_Sonnet+O73*UsdM_Opus))</f>
        <v/>
      </c>
      <c r="Q73" s="19">
        <f>IF($F73&lt;&gt;"OK","",N73/1000000*((1-O73)*UsdM_Sonnet+O73*UsdM_Opus))</f>
        <v/>
      </c>
      <c r="R73" s="19">
        <f>IF($F73&lt;&gt;"OK","",G73*TarifaHora)</f>
        <v/>
      </c>
      <c r="S73" s="19">
        <f>IF($F73&lt;&gt;"OK","",H73*TarifaHora)</f>
        <v/>
      </c>
      <c r="T73" s="10">
        <f>IF($F73&lt;&gt;"OK","",IF(COUNTIFS($A$2:$A73,$A73,$F$2:$F73,"OK")=1,MAX($T$1:$T72)+1,""))</f>
        <v/>
      </c>
    </row>
    <row r="74">
      <c r="A74" s="11" t="n"/>
      <c r="B74" s="11" t="n"/>
      <c r="C74" s="11" t="n"/>
      <c r="D74" s="11" t="n"/>
      <c r="E74" s="11" t="n"/>
      <c r="F74" s="10">
        <f>IF(AND($A74="",$B74="",$C74=""),"",IF($A74="","⚠ Falta hito",IF(ISNA(MATCH($C74,Cat_Nombre,0)),"⚠ Categoría inválida","OK")))</f>
        <v/>
      </c>
      <c r="G74" s="16">
        <f>IF($F74&lt;&gt;"OK","",IF(UPPER(TRIM($D74))="NO",INDEX(Cat_HMax,MATCH($C74,Cat_Nombre,0)),INDEX(Cat_HMin,MATCH($C74,Cat_Nombre,0))))</f>
        <v/>
      </c>
      <c r="H74" s="16">
        <f>IF($F74&lt;&gt;"OK","",INDEX(Cat_HMax,MATCH($C74,Cat_Nombre,0)))</f>
        <v/>
      </c>
      <c r="I74" s="16">
        <f>IF($F74&lt;&gt;"OK","",(G74+H74)/2)</f>
        <v/>
      </c>
      <c r="J74" s="16">
        <f>IF($F74&lt;&gt;"OK","",G74/HorasDia)</f>
        <v/>
      </c>
      <c r="K74" s="16">
        <f>IF($F74&lt;&gt;"OK","",I74/HorasDia)</f>
        <v/>
      </c>
      <c r="L74" s="16">
        <f>IF($F74&lt;&gt;"OK","",H74/HorasDia)</f>
        <v/>
      </c>
      <c r="M74" s="17">
        <f>IF($F74&lt;&gt;"OK","",IF(UPPER(TRIM($D74))="NO",INDEX(Cat_TMax,MATCH($C74,Cat_Nombre,0)),INDEX(Cat_TMin,MATCH($C74,Cat_Nombre,0))))</f>
        <v/>
      </c>
      <c r="N74" s="17">
        <f>IF($F74&lt;&gt;"OK","",INDEX(Cat_TMax,MATCH($C74,Cat_Nombre,0)))</f>
        <v/>
      </c>
      <c r="O74" s="18">
        <f>IF($F74&lt;&gt;"OK","",INDEX(Cat_POpus,MATCH($C74,Cat_Nombre,0)))</f>
        <v/>
      </c>
      <c r="P74" s="19">
        <f>IF($F74&lt;&gt;"OK","",M74/1000000*((1-O74)*UsdM_Sonnet+O74*UsdM_Opus))</f>
        <v/>
      </c>
      <c r="Q74" s="19">
        <f>IF($F74&lt;&gt;"OK","",N74/1000000*((1-O74)*UsdM_Sonnet+O74*UsdM_Opus))</f>
        <v/>
      </c>
      <c r="R74" s="19">
        <f>IF($F74&lt;&gt;"OK","",G74*TarifaHora)</f>
        <v/>
      </c>
      <c r="S74" s="19">
        <f>IF($F74&lt;&gt;"OK","",H74*TarifaHora)</f>
        <v/>
      </c>
      <c r="T74" s="10">
        <f>IF($F74&lt;&gt;"OK","",IF(COUNTIFS($A$2:$A74,$A74,$F$2:$F74,"OK")=1,MAX($T$1:$T73)+1,""))</f>
        <v/>
      </c>
    </row>
    <row r="75">
      <c r="A75" s="11" t="n"/>
      <c r="B75" s="11" t="n"/>
      <c r="C75" s="11" t="n"/>
      <c r="D75" s="11" t="n"/>
      <c r="E75" s="11" t="n"/>
      <c r="F75" s="10">
        <f>IF(AND($A75="",$B75="",$C75=""),"",IF($A75="","⚠ Falta hito",IF(ISNA(MATCH($C75,Cat_Nombre,0)),"⚠ Categoría inválida","OK")))</f>
        <v/>
      </c>
      <c r="G75" s="16">
        <f>IF($F75&lt;&gt;"OK","",IF(UPPER(TRIM($D75))="NO",INDEX(Cat_HMax,MATCH($C75,Cat_Nombre,0)),INDEX(Cat_HMin,MATCH($C75,Cat_Nombre,0))))</f>
        <v/>
      </c>
      <c r="H75" s="16">
        <f>IF($F75&lt;&gt;"OK","",INDEX(Cat_HMax,MATCH($C75,Cat_Nombre,0)))</f>
        <v/>
      </c>
      <c r="I75" s="16">
        <f>IF($F75&lt;&gt;"OK","",(G75+H75)/2)</f>
        <v/>
      </c>
      <c r="J75" s="16">
        <f>IF($F75&lt;&gt;"OK","",G75/HorasDia)</f>
        <v/>
      </c>
      <c r="K75" s="16">
        <f>IF($F75&lt;&gt;"OK","",I75/HorasDia)</f>
        <v/>
      </c>
      <c r="L75" s="16">
        <f>IF($F75&lt;&gt;"OK","",H75/HorasDia)</f>
        <v/>
      </c>
      <c r="M75" s="17">
        <f>IF($F75&lt;&gt;"OK","",IF(UPPER(TRIM($D75))="NO",INDEX(Cat_TMax,MATCH($C75,Cat_Nombre,0)),INDEX(Cat_TMin,MATCH($C75,Cat_Nombre,0))))</f>
        <v/>
      </c>
      <c r="N75" s="17">
        <f>IF($F75&lt;&gt;"OK","",INDEX(Cat_TMax,MATCH($C75,Cat_Nombre,0)))</f>
        <v/>
      </c>
      <c r="O75" s="18">
        <f>IF($F75&lt;&gt;"OK","",INDEX(Cat_POpus,MATCH($C75,Cat_Nombre,0)))</f>
        <v/>
      </c>
      <c r="P75" s="19">
        <f>IF($F75&lt;&gt;"OK","",M75/1000000*((1-O75)*UsdM_Sonnet+O75*UsdM_Opus))</f>
        <v/>
      </c>
      <c r="Q75" s="19">
        <f>IF($F75&lt;&gt;"OK","",N75/1000000*((1-O75)*UsdM_Sonnet+O75*UsdM_Opus))</f>
        <v/>
      </c>
      <c r="R75" s="19">
        <f>IF($F75&lt;&gt;"OK","",G75*TarifaHora)</f>
        <v/>
      </c>
      <c r="S75" s="19">
        <f>IF($F75&lt;&gt;"OK","",H75*TarifaHora)</f>
        <v/>
      </c>
      <c r="T75" s="10">
        <f>IF($F75&lt;&gt;"OK","",IF(COUNTIFS($A$2:$A75,$A75,$F$2:$F75,"OK")=1,MAX($T$1:$T74)+1,""))</f>
        <v/>
      </c>
    </row>
    <row r="76">
      <c r="A76" s="11" t="n"/>
      <c r="B76" s="11" t="n"/>
      <c r="C76" s="11" t="n"/>
      <c r="D76" s="11" t="n"/>
      <c r="E76" s="11" t="n"/>
      <c r="F76" s="10">
        <f>IF(AND($A76="",$B76="",$C76=""),"",IF($A76="","⚠ Falta hito",IF(ISNA(MATCH($C76,Cat_Nombre,0)),"⚠ Categoría inválida","OK")))</f>
        <v/>
      </c>
      <c r="G76" s="16">
        <f>IF($F76&lt;&gt;"OK","",IF(UPPER(TRIM($D76))="NO",INDEX(Cat_HMax,MATCH($C76,Cat_Nombre,0)),INDEX(Cat_HMin,MATCH($C76,Cat_Nombre,0))))</f>
        <v/>
      </c>
      <c r="H76" s="16">
        <f>IF($F76&lt;&gt;"OK","",INDEX(Cat_HMax,MATCH($C76,Cat_Nombre,0)))</f>
        <v/>
      </c>
      <c r="I76" s="16">
        <f>IF($F76&lt;&gt;"OK","",(G76+H76)/2)</f>
        <v/>
      </c>
      <c r="J76" s="16">
        <f>IF($F76&lt;&gt;"OK","",G76/HorasDia)</f>
        <v/>
      </c>
      <c r="K76" s="16">
        <f>IF($F76&lt;&gt;"OK","",I76/HorasDia)</f>
        <v/>
      </c>
      <c r="L76" s="16">
        <f>IF($F76&lt;&gt;"OK","",H76/HorasDia)</f>
        <v/>
      </c>
      <c r="M76" s="17">
        <f>IF($F76&lt;&gt;"OK","",IF(UPPER(TRIM($D76))="NO",INDEX(Cat_TMax,MATCH($C76,Cat_Nombre,0)),INDEX(Cat_TMin,MATCH($C76,Cat_Nombre,0))))</f>
        <v/>
      </c>
      <c r="N76" s="17">
        <f>IF($F76&lt;&gt;"OK","",INDEX(Cat_TMax,MATCH($C76,Cat_Nombre,0)))</f>
        <v/>
      </c>
      <c r="O76" s="18">
        <f>IF($F76&lt;&gt;"OK","",INDEX(Cat_POpus,MATCH($C76,Cat_Nombre,0)))</f>
        <v/>
      </c>
      <c r="P76" s="19">
        <f>IF($F76&lt;&gt;"OK","",M76/1000000*((1-O76)*UsdM_Sonnet+O76*UsdM_Opus))</f>
        <v/>
      </c>
      <c r="Q76" s="19">
        <f>IF($F76&lt;&gt;"OK","",N76/1000000*((1-O76)*UsdM_Sonnet+O76*UsdM_Opus))</f>
        <v/>
      </c>
      <c r="R76" s="19">
        <f>IF($F76&lt;&gt;"OK","",G76*TarifaHora)</f>
        <v/>
      </c>
      <c r="S76" s="19">
        <f>IF($F76&lt;&gt;"OK","",H76*TarifaHora)</f>
        <v/>
      </c>
      <c r="T76" s="10">
        <f>IF($F76&lt;&gt;"OK","",IF(COUNTIFS($A$2:$A76,$A76,$F$2:$F76,"OK")=1,MAX($T$1:$T75)+1,""))</f>
        <v/>
      </c>
    </row>
    <row r="77">
      <c r="A77" s="11" t="n"/>
      <c r="B77" s="11" t="n"/>
      <c r="C77" s="11" t="n"/>
      <c r="D77" s="11" t="n"/>
      <c r="E77" s="11" t="n"/>
      <c r="F77" s="10">
        <f>IF(AND($A77="",$B77="",$C77=""),"",IF($A77="","⚠ Falta hito",IF(ISNA(MATCH($C77,Cat_Nombre,0)),"⚠ Categoría inválida","OK")))</f>
        <v/>
      </c>
      <c r="G77" s="16">
        <f>IF($F77&lt;&gt;"OK","",IF(UPPER(TRIM($D77))="NO",INDEX(Cat_HMax,MATCH($C77,Cat_Nombre,0)),INDEX(Cat_HMin,MATCH($C77,Cat_Nombre,0))))</f>
        <v/>
      </c>
      <c r="H77" s="16">
        <f>IF($F77&lt;&gt;"OK","",INDEX(Cat_HMax,MATCH($C77,Cat_Nombre,0)))</f>
        <v/>
      </c>
      <c r="I77" s="16">
        <f>IF($F77&lt;&gt;"OK","",(G77+H77)/2)</f>
        <v/>
      </c>
      <c r="J77" s="16">
        <f>IF($F77&lt;&gt;"OK","",G77/HorasDia)</f>
        <v/>
      </c>
      <c r="K77" s="16">
        <f>IF($F77&lt;&gt;"OK","",I77/HorasDia)</f>
        <v/>
      </c>
      <c r="L77" s="16">
        <f>IF($F77&lt;&gt;"OK","",H77/HorasDia)</f>
        <v/>
      </c>
      <c r="M77" s="17">
        <f>IF($F77&lt;&gt;"OK","",IF(UPPER(TRIM($D77))="NO",INDEX(Cat_TMax,MATCH($C77,Cat_Nombre,0)),INDEX(Cat_TMin,MATCH($C77,Cat_Nombre,0))))</f>
        <v/>
      </c>
      <c r="N77" s="17">
        <f>IF($F77&lt;&gt;"OK","",INDEX(Cat_TMax,MATCH($C77,Cat_Nombre,0)))</f>
        <v/>
      </c>
      <c r="O77" s="18">
        <f>IF($F77&lt;&gt;"OK","",INDEX(Cat_POpus,MATCH($C77,Cat_Nombre,0)))</f>
        <v/>
      </c>
      <c r="P77" s="19">
        <f>IF($F77&lt;&gt;"OK","",M77/1000000*((1-O77)*UsdM_Sonnet+O77*UsdM_Opus))</f>
        <v/>
      </c>
      <c r="Q77" s="19">
        <f>IF($F77&lt;&gt;"OK","",N77/1000000*((1-O77)*UsdM_Sonnet+O77*UsdM_Opus))</f>
        <v/>
      </c>
      <c r="R77" s="19">
        <f>IF($F77&lt;&gt;"OK","",G77*TarifaHora)</f>
        <v/>
      </c>
      <c r="S77" s="19">
        <f>IF($F77&lt;&gt;"OK","",H77*TarifaHora)</f>
        <v/>
      </c>
      <c r="T77" s="10">
        <f>IF($F77&lt;&gt;"OK","",IF(COUNTIFS($A$2:$A77,$A77,$F$2:$F77,"OK")=1,MAX($T$1:$T76)+1,""))</f>
        <v/>
      </c>
    </row>
    <row r="78">
      <c r="A78" s="11" t="n"/>
      <c r="B78" s="11" t="n"/>
      <c r="C78" s="11" t="n"/>
      <c r="D78" s="11" t="n"/>
      <c r="E78" s="11" t="n"/>
      <c r="F78" s="10">
        <f>IF(AND($A78="",$B78="",$C78=""),"",IF($A78="","⚠ Falta hito",IF(ISNA(MATCH($C78,Cat_Nombre,0)),"⚠ Categoría inválida","OK")))</f>
        <v/>
      </c>
      <c r="G78" s="16">
        <f>IF($F78&lt;&gt;"OK","",IF(UPPER(TRIM($D78))="NO",INDEX(Cat_HMax,MATCH($C78,Cat_Nombre,0)),INDEX(Cat_HMin,MATCH($C78,Cat_Nombre,0))))</f>
        <v/>
      </c>
      <c r="H78" s="16">
        <f>IF($F78&lt;&gt;"OK","",INDEX(Cat_HMax,MATCH($C78,Cat_Nombre,0)))</f>
        <v/>
      </c>
      <c r="I78" s="16">
        <f>IF($F78&lt;&gt;"OK","",(G78+H78)/2)</f>
        <v/>
      </c>
      <c r="J78" s="16">
        <f>IF($F78&lt;&gt;"OK","",G78/HorasDia)</f>
        <v/>
      </c>
      <c r="K78" s="16">
        <f>IF($F78&lt;&gt;"OK","",I78/HorasDia)</f>
        <v/>
      </c>
      <c r="L78" s="16">
        <f>IF($F78&lt;&gt;"OK","",H78/HorasDia)</f>
        <v/>
      </c>
      <c r="M78" s="17">
        <f>IF($F78&lt;&gt;"OK","",IF(UPPER(TRIM($D78))="NO",INDEX(Cat_TMax,MATCH($C78,Cat_Nombre,0)),INDEX(Cat_TMin,MATCH($C78,Cat_Nombre,0))))</f>
        <v/>
      </c>
      <c r="N78" s="17">
        <f>IF($F78&lt;&gt;"OK","",INDEX(Cat_TMax,MATCH($C78,Cat_Nombre,0)))</f>
        <v/>
      </c>
      <c r="O78" s="18">
        <f>IF($F78&lt;&gt;"OK","",INDEX(Cat_POpus,MATCH($C78,Cat_Nombre,0)))</f>
        <v/>
      </c>
      <c r="P78" s="19">
        <f>IF($F78&lt;&gt;"OK","",M78/1000000*((1-O78)*UsdM_Sonnet+O78*UsdM_Opus))</f>
        <v/>
      </c>
      <c r="Q78" s="19">
        <f>IF($F78&lt;&gt;"OK","",N78/1000000*((1-O78)*UsdM_Sonnet+O78*UsdM_Opus))</f>
        <v/>
      </c>
      <c r="R78" s="19">
        <f>IF($F78&lt;&gt;"OK","",G78*TarifaHora)</f>
        <v/>
      </c>
      <c r="S78" s="19">
        <f>IF($F78&lt;&gt;"OK","",H78*TarifaHora)</f>
        <v/>
      </c>
      <c r="T78" s="10">
        <f>IF($F78&lt;&gt;"OK","",IF(COUNTIFS($A$2:$A78,$A78,$F$2:$F78,"OK")=1,MAX($T$1:$T77)+1,""))</f>
        <v/>
      </c>
    </row>
    <row r="79">
      <c r="A79" s="11" t="n"/>
      <c r="B79" s="11" t="n"/>
      <c r="C79" s="11" t="n"/>
      <c r="D79" s="11" t="n"/>
      <c r="E79" s="11" t="n"/>
      <c r="F79" s="10">
        <f>IF(AND($A79="",$B79="",$C79=""),"",IF($A79="","⚠ Falta hito",IF(ISNA(MATCH($C79,Cat_Nombre,0)),"⚠ Categoría inválida","OK")))</f>
        <v/>
      </c>
      <c r="G79" s="16">
        <f>IF($F79&lt;&gt;"OK","",IF(UPPER(TRIM($D79))="NO",INDEX(Cat_HMax,MATCH($C79,Cat_Nombre,0)),INDEX(Cat_HMin,MATCH($C79,Cat_Nombre,0))))</f>
        <v/>
      </c>
      <c r="H79" s="16">
        <f>IF($F79&lt;&gt;"OK","",INDEX(Cat_HMax,MATCH($C79,Cat_Nombre,0)))</f>
        <v/>
      </c>
      <c r="I79" s="16">
        <f>IF($F79&lt;&gt;"OK","",(G79+H79)/2)</f>
        <v/>
      </c>
      <c r="J79" s="16">
        <f>IF($F79&lt;&gt;"OK","",G79/HorasDia)</f>
        <v/>
      </c>
      <c r="K79" s="16">
        <f>IF($F79&lt;&gt;"OK","",I79/HorasDia)</f>
        <v/>
      </c>
      <c r="L79" s="16">
        <f>IF($F79&lt;&gt;"OK","",H79/HorasDia)</f>
        <v/>
      </c>
      <c r="M79" s="17">
        <f>IF($F79&lt;&gt;"OK","",IF(UPPER(TRIM($D79))="NO",INDEX(Cat_TMax,MATCH($C79,Cat_Nombre,0)),INDEX(Cat_TMin,MATCH($C79,Cat_Nombre,0))))</f>
        <v/>
      </c>
      <c r="N79" s="17">
        <f>IF($F79&lt;&gt;"OK","",INDEX(Cat_TMax,MATCH($C79,Cat_Nombre,0)))</f>
        <v/>
      </c>
      <c r="O79" s="18">
        <f>IF($F79&lt;&gt;"OK","",INDEX(Cat_POpus,MATCH($C79,Cat_Nombre,0)))</f>
        <v/>
      </c>
      <c r="P79" s="19">
        <f>IF($F79&lt;&gt;"OK","",M79/1000000*((1-O79)*UsdM_Sonnet+O79*UsdM_Opus))</f>
        <v/>
      </c>
      <c r="Q79" s="19">
        <f>IF($F79&lt;&gt;"OK","",N79/1000000*((1-O79)*UsdM_Sonnet+O79*UsdM_Opus))</f>
        <v/>
      </c>
      <c r="R79" s="19">
        <f>IF($F79&lt;&gt;"OK","",G79*TarifaHora)</f>
        <v/>
      </c>
      <c r="S79" s="19">
        <f>IF($F79&lt;&gt;"OK","",H79*TarifaHora)</f>
        <v/>
      </c>
      <c r="T79" s="10">
        <f>IF($F79&lt;&gt;"OK","",IF(COUNTIFS($A$2:$A79,$A79,$F$2:$F79,"OK")=1,MAX($T$1:$T78)+1,""))</f>
        <v/>
      </c>
    </row>
    <row r="80">
      <c r="A80" s="11" t="n"/>
      <c r="B80" s="11" t="n"/>
      <c r="C80" s="11" t="n"/>
      <c r="D80" s="11" t="n"/>
      <c r="E80" s="11" t="n"/>
      <c r="F80" s="10">
        <f>IF(AND($A80="",$B80="",$C80=""),"",IF($A80="","⚠ Falta hito",IF(ISNA(MATCH($C80,Cat_Nombre,0)),"⚠ Categoría inválida","OK")))</f>
        <v/>
      </c>
      <c r="G80" s="16">
        <f>IF($F80&lt;&gt;"OK","",IF(UPPER(TRIM($D80))="NO",INDEX(Cat_HMax,MATCH($C80,Cat_Nombre,0)),INDEX(Cat_HMin,MATCH($C80,Cat_Nombre,0))))</f>
        <v/>
      </c>
      <c r="H80" s="16">
        <f>IF($F80&lt;&gt;"OK","",INDEX(Cat_HMax,MATCH($C80,Cat_Nombre,0)))</f>
        <v/>
      </c>
      <c r="I80" s="16">
        <f>IF($F80&lt;&gt;"OK","",(G80+H80)/2)</f>
        <v/>
      </c>
      <c r="J80" s="16">
        <f>IF($F80&lt;&gt;"OK","",G80/HorasDia)</f>
        <v/>
      </c>
      <c r="K80" s="16">
        <f>IF($F80&lt;&gt;"OK","",I80/HorasDia)</f>
        <v/>
      </c>
      <c r="L80" s="16">
        <f>IF($F80&lt;&gt;"OK","",H80/HorasDia)</f>
        <v/>
      </c>
      <c r="M80" s="17">
        <f>IF($F80&lt;&gt;"OK","",IF(UPPER(TRIM($D80))="NO",INDEX(Cat_TMax,MATCH($C80,Cat_Nombre,0)),INDEX(Cat_TMin,MATCH($C80,Cat_Nombre,0))))</f>
        <v/>
      </c>
      <c r="N80" s="17">
        <f>IF($F80&lt;&gt;"OK","",INDEX(Cat_TMax,MATCH($C80,Cat_Nombre,0)))</f>
        <v/>
      </c>
      <c r="O80" s="18">
        <f>IF($F80&lt;&gt;"OK","",INDEX(Cat_POpus,MATCH($C80,Cat_Nombre,0)))</f>
        <v/>
      </c>
      <c r="P80" s="19">
        <f>IF($F80&lt;&gt;"OK","",M80/1000000*((1-O80)*UsdM_Sonnet+O80*UsdM_Opus))</f>
        <v/>
      </c>
      <c r="Q80" s="19">
        <f>IF($F80&lt;&gt;"OK","",N80/1000000*((1-O80)*UsdM_Sonnet+O80*UsdM_Opus))</f>
        <v/>
      </c>
      <c r="R80" s="19">
        <f>IF($F80&lt;&gt;"OK","",G80*TarifaHora)</f>
        <v/>
      </c>
      <c r="S80" s="19">
        <f>IF($F80&lt;&gt;"OK","",H80*TarifaHora)</f>
        <v/>
      </c>
      <c r="T80" s="10">
        <f>IF($F80&lt;&gt;"OK","",IF(COUNTIFS($A$2:$A80,$A80,$F$2:$F80,"OK")=1,MAX($T$1:$T79)+1,""))</f>
        <v/>
      </c>
    </row>
    <row r="81">
      <c r="A81" s="11" t="n"/>
      <c r="B81" s="11" t="n"/>
      <c r="C81" s="11" t="n"/>
      <c r="D81" s="11" t="n"/>
      <c r="E81" s="11" t="n"/>
      <c r="F81" s="10">
        <f>IF(AND($A81="",$B81="",$C81=""),"",IF($A81="","⚠ Falta hito",IF(ISNA(MATCH($C81,Cat_Nombre,0)),"⚠ Categoría inválida","OK")))</f>
        <v/>
      </c>
      <c r="G81" s="16">
        <f>IF($F81&lt;&gt;"OK","",IF(UPPER(TRIM($D81))="NO",INDEX(Cat_HMax,MATCH($C81,Cat_Nombre,0)),INDEX(Cat_HMin,MATCH($C81,Cat_Nombre,0))))</f>
        <v/>
      </c>
      <c r="H81" s="16">
        <f>IF($F81&lt;&gt;"OK","",INDEX(Cat_HMax,MATCH($C81,Cat_Nombre,0)))</f>
        <v/>
      </c>
      <c r="I81" s="16">
        <f>IF($F81&lt;&gt;"OK","",(G81+H81)/2)</f>
        <v/>
      </c>
      <c r="J81" s="16">
        <f>IF($F81&lt;&gt;"OK","",G81/HorasDia)</f>
        <v/>
      </c>
      <c r="K81" s="16">
        <f>IF($F81&lt;&gt;"OK","",I81/HorasDia)</f>
        <v/>
      </c>
      <c r="L81" s="16">
        <f>IF($F81&lt;&gt;"OK","",H81/HorasDia)</f>
        <v/>
      </c>
      <c r="M81" s="17">
        <f>IF($F81&lt;&gt;"OK","",IF(UPPER(TRIM($D81))="NO",INDEX(Cat_TMax,MATCH($C81,Cat_Nombre,0)),INDEX(Cat_TMin,MATCH($C81,Cat_Nombre,0))))</f>
        <v/>
      </c>
      <c r="N81" s="17">
        <f>IF($F81&lt;&gt;"OK","",INDEX(Cat_TMax,MATCH($C81,Cat_Nombre,0)))</f>
        <v/>
      </c>
      <c r="O81" s="18">
        <f>IF($F81&lt;&gt;"OK","",INDEX(Cat_POpus,MATCH($C81,Cat_Nombre,0)))</f>
        <v/>
      </c>
      <c r="P81" s="19">
        <f>IF($F81&lt;&gt;"OK","",M81/1000000*((1-O81)*UsdM_Sonnet+O81*UsdM_Opus))</f>
        <v/>
      </c>
      <c r="Q81" s="19">
        <f>IF($F81&lt;&gt;"OK","",N81/1000000*((1-O81)*UsdM_Sonnet+O81*UsdM_Opus))</f>
        <v/>
      </c>
      <c r="R81" s="19">
        <f>IF($F81&lt;&gt;"OK","",G81*TarifaHora)</f>
        <v/>
      </c>
      <c r="S81" s="19">
        <f>IF($F81&lt;&gt;"OK","",H81*TarifaHora)</f>
        <v/>
      </c>
      <c r="T81" s="10">
        <f>IF($F81&lt;&gt;"OK","",IF(COUNTIFS($A$2:$A81,$A81,$F$2:$F81,"OK")=1,MAX($T$1:$T80)+1,""))</f>
        <v/>
      </c>
    </row>
    <row r="82">
      <c r="A82" s="11" t="n"/>
      <c r="B82" s="11" t="n"/>
      <c r="C82" s="11" t="n"/>
      <c r="D82" s="11" t="n"/>
      <c r="E82" s="11" t="n"/>
      <c r="F82" s="10">
        <f>IF(AND($A82="",$B82="",$C82=""),"",IF($A82="","⚠ Falta hito",IF(ISNA(MATCH($C82,Cat_Nombre,0)),"⚠ Categoría inválida","OK")))</f>
        <v/>
      </c>
      <c r="G82" s="16">
        <f>IF($F82&lt;&gt;"OK","",IF(UPPER(TRIM($D82))="NO",INDEX(Cat_HMax,MATCH($C82,Cat_Nombre,0)),INDEX(Cat_HMin,MATCH($C82,Cat_Nombre,0))))</f>
        <v/>
      </c>
      <c r="H82" s="16">
        <f>IF($F82&lt;&gt;"OK","",INDEX(Cat_HMax,MATCH($C82,Cat_Nombre,0)))</f>
        <v/>
      </c>
      <c r="I82" s="16">
        <f>IF($F82&lt;&gt;"OK","",(G82+H82)/2)</f>
        <v/>
      </c>
      <c r="J82" s="16">
        <f>IF($F82&lt;&gt;"OK","",G82/HorasDia)</f>
        <v/>
      </c>
      <c r="K82" s="16">
        <f>IF($F82&lt;&gt;"OK","",I82/HorasDia)</f>
        <v/>
      </c>
      <c r="L82" s="16">
        <f>IF($F82&lt;&gt;"OK","",H82/HorasDia)</f>
        <v/>
      </c>
      <c r="M82" s="17">
        <f>IF($F82&lt;&gt;"OK","",IF(UPPER(TRIM($D82))="NO",INDEX(Cat_TMax,MATCH($C82,Cat_Nombre,0)),INDEX(Cat_TMin,MATCH($C82,Cat_Nombre,0))))</f>
        <v/>
      </c>
      <c r="N82" s="17">
        <f>IF($F82&lt;&gt;"OK","",INDEX(Cat_TMax,MATCH($C82,Cat_Nombre,0)))</f>
        <v/>
      </c>
      <c r="O82" s="18">
        <f>IF($F82&lt;&gt;"OK","",INDEX(Cat_POpus,MATCH($C82,Cat_Nombre,0)))</f>
        <v/>
      </c>
      <c r="P82" s="19">
        <f>IF($F82&lt;&gt;"OK","",M82/1000000*((1-O82)*UsdM_Sonnet+O82*UsdM_Opus))</f>
        <v/>
      </c>
      <c r="Q82" s="19">
        <f>IF($F82&lt;&gt;"OK","",N82/1000000*((1-O82)*UsdM_Sonnet+O82*UsdM_Opus))</f>
        <v/>
      </c>
      <c r="R82" s="19">
        <f>IF($F82&lt;&gt;"OK","",G82*TarifaHora)</f>
        <v/>
      </c>
      <c r="S82" s="19">
        <f>IF($F82&lt;&gt;"OK","",H82*TarifaHora)</f>
        <v/>
      </c>
      <c r="T82" s="10">
        <f>IF($F82&lt;&gt;"OK","",IF(COUNTIFS($A$2:$A82,$A82,$F$2:$F82,"OK")=1,MAX($T$1:$T81)+1,""))</f>
        <v/>
      </c>
    </row>
    <row r="83">
      <c r="A83" s="11" t="n"/>
      <c r="B83" s="11" t="n"/>
      <c r="C83" s="11" t="n"/>
      <c r="D83" s="11" t="n"/>
      <c r="E83" s="11" t="n"/>
      <c r="F83" s="10">
        <f>IF(AND($A83="",$B83="",$C83=""),"",IF($A83="","⚠ Falta hito",IF(ISNA(MATCH($C83,Cat_Nombre,0)),"⚠ Categoría inválida","OK")))</f>
        <v/>
      </c>
      <c r="G83" s="16">
        <f>IF($F83&lt;&gt;"OK","",IF(UPPER(TRIM($D83))="NO",INDEX(Cat_HMax,MATCH($C83,Cat_Nombre,0)),INDEX(Cat_HMin,MATCH($C83,Cat_Nombre,0))))</f>
        <v/>
      </c>
      <c r="H83" s="16">
        <f>IF($F83&lt;&gt;"OK","",INDEX(Cat_HMax,MATCH($C83,Cat_Nombre,0)))</f>
        <v/>
      </c>
      <c r="I83" s="16">
        <f>IF($F83&lt;&gt;"OK","",(G83+H83)/2)</f>
        <v/>
      </c>
      <c r="J83" s="16">
        <f>IF($F83&lt;&gt;"OK","",G83/HorasDia)</f>
        <v/>
      </c>
      <c r="K83" s="16">
        <f>IF($F83&lt;&gt;"OK","",I83/HorasDia)</f>
        <v/>
      </c>
      <c r="L83" s="16">
        <f>IF($F83&lt;&gt;"OK","",H83/HorasDia)</f>
        <v/>
      </c>
      <c r="M83" s="17">
        <f>IF($F83&lt;&gt;"OK","",IF(UPPER(TRIM($D83))="NO",INDEX(Cat_TMax,MATCH($C83,Cat_Nombre,0)),INDEX(Cat_TMin,MATCH($C83,Cat_Nombre,0))))</f>
        <v/>
      </c>
      <c r="N83" s="17">
        <f>IF($F83&lt;&gt;"OK","",INDEX(Cat_TMax,MATCH($C83,Cat_Nombre,0)))</f>
        <v/>
      </c>
      <c r="O83" s="18">
        <f>IF($F83&lt;&gt;"OK","",INDEX(Cat_POpus,MATCH($C83,Cat_Nombre,0)))</f>
        <v/>
      </c>
      <c r="P83" s="19">
        <f>IF($F83&lt;&gt;"OK","",M83/1000000*((1-O83)*UsdM_Sonnet+O83*UsdM_Opus))</f>
        <v/>
      </c>
      <c r="Q83" s="19">
        <f>IF($F83&lt;&gt;"OK","",N83/1000000*((1-O83)*UsdM_Sonnet+O83*UsdM_Opus))</f>
        <v/>
      </c>
      <c r="R83" s="19">
        <f>IF($F83&lt;&gt;"OK","",G83*TarifaHora)</f>
        <v/>
      </c>
      <c r="S83" s="19">
        <f>IF($F83&lt;&gt;"OK","",H83*TarifaHora)</f>
        <v/>
      </c>
      <c r="T83" s="10">
        <f>IF($F83&lt;&gt;"OK","",IF(COUNTIFS($A$2:$A83,$A83,$F$2:$F83,"OK")=1,MAX($T$1:$T82)+1,""))</f>
        <v/>
      </c>
    </row>
    <row r="84">
      <c r="A84" s="11" t="n"/>
      <c r="B84" s="11" t="n"/>
      <c r="C84" s="11" t="n"/>
      <c r="D84" s="11" t="n"/>
      <c r="E84" s="11" t="n"/>
      <c r="F84" s="10">
        <f>IF(AND($A84="",$B84="",$C84=""),"",IF($A84="","⚠ Falta hito",IF(ISNA(MATCH($C84,Cat_Nombre,0)),"⚠ Categoría inválida","OK")))</f>
        <v/>
      </c>
      <c r="G84" s="16">
        <f>IF($F84&lt;&gt;"OK","",IF(UPPER(TRIM($D84))="NO",INDEX(Cat_HMax,MATCH($C84,Cat_Nombre,0)),INDEX(Cat_HMin,MATCH($C84,Cat_Nombre,0))))</f>
        <v/>
      </c>
      <c r="H84" s="16">
        <f>IF($F84&lt;&gt;"OK","",INDEX(Cat_HMax,MATCH($C84,Cat_Nombre,0)))</f>
        <v/>
      </c>
      <c r="I84" s="16">
        <f>IF($F84&lt;&gt;"OK","",(G84+H84)/2)</f>
        <v/>
      </c>
      <c r="J84" s="16">
        <f>IF($F84&lt;&gt;"OK","",G84/HorasDia)</f>
        <v/>
      </c>
      <c r="K84" s="16">
        <f>IF($F84&lt;&gt;"OK","",I84/HorasDia)</f>
        <v/>
      </c>
      <c r="L84" s="16">
        <f>IF($F84&lt;&gt;"OK","",H84/HorasDia)</f>
        <v/>
      </c>
      <c r="M84" s="17">
        <f>IF($F84&lt;&gt;"OK","",IF(UPPER(TRIM($D84))="NO",INDEX(Cat_TMax,MATCH($C84,Cat_Nombre,0)),INDEX(Cat_TMin,MATCH($C84,Cat_Nombre,0))))</f>
        <v/>
      </c>
      <c r="N84" s="17">
        <f>IF($F84&lt;&gt;"OK","",INDEX(Cat_TMax,MATCH($C84,Cat_Nombre,0)))</f>
        <v/>
      </c>
      <c r="O84" s="18">
        <f>IF($F84&lt;&gt;"OK","",INDEX(Cat_POpus,MATCH($C84,Cat_Nombre,0)))</f>
        <v/>
      </c>
      <c r="P84" s="19">
        <f>IF($F84&lt;&gt;"OK","",M84/1000000*((1-O84)*UsdM_Sonnet+O84*UsdM_Opus))</f>
        <v/>
      </c>
      <c r="Q84" s="19">
        <f>IF($F84&lt;&gt;"OK","",N84/1000000*((1-O84)*UsdM_Sonnet+O84*UsdM_Opus))</f>
        <v/>
      </c>
      <c r="R84" s="19">
        <f>IF($F84&lt;&gt;"OK","",G84*TarifaHora)</f>
        <v/>
      </c>
      <c r="S84" s="19">
        <f>IF($F84&lt;&gt;"OK","",H84*TarifaHora)</f>
        <v/>
      </c>
      <c r="T84" s="10">
        <f>IF($F84&lt;&gt;"OK","",IF(COUNTIFS($A$2:$A84,$A84,$F$2:$F84,"OK")=1,MAX($T$1:$T83)+1,""))</f>
        <v/>
      </c>
    </row>
    <row r="85">
      <c r="A85" s="11" t="n"/>
      <c r="B85" s="11" t="n"/>
      <c r="C85" s="11" t="n"/>
      <c r="D85" s="11" t="n"/>
      <c r="E85" s="11" t="n"/>
      <c r="F85" s="10">
        <f>IF(AND($A85="",$B85="",$C85=""),"",IF($A85="","⚠ Falta hito",IF(ISNA(MATCH($C85,Cat_Nombre,0)),"⚠ Categoría inválida","OK")))</f>
        <v/>
      </c>
      <c r="G85" s="16">
        <f>IF($F85&lt;&gt;"OK","",IF(UPPER(TRIM($D85))="NO",INDEX(Cat_HMax,MATCH($C85,Cat_Nombre,0)),INDEX(Cat_HMin,MATCH($C85,Cat_Nombre,0))))</f>
        <v/>
      </c>
      <c r="H85" s="16">
        <f>IF($F85&lt;&gt;"OK","",INDEX(Cat_HMax,MATCH($C85,Cat_Nombre,0)))</f>
        <v/>
      </c>
      <c r="I85" s="16">
        <f>IF($F85&lt;&gt;"OK","",(G85+H85)/2)</f>
        <v/>
      </c>
      <c r="J85" s="16">
        <f>IF($F85&lt;&gt;"OK","",G85/HorasDia)</f>
        <v/>
      </c>
      <c r="K85" s="16">
        <f>IF($F85&lt;&gt;"OK","",I85/HorasDia)</f>
        <v/>
      </c>
      <c r="L85" s="16">
        <f>IF($F85&lt;&gt;"OK","",H85/HorasDia)</f>
        <v/>
      </c>
      <c r="M85" s="17">
        <f>IF($F85&lt;&gt;"OK","",IF(UPPER(TRIM($D85))="NO",INDEX(Cat_TMax,MATCH($C85,Cat_Nombre,0)),INDEX(Cat_TMin,MATCH($C85,Cat_Nombre,0))))</f>
        <v/>
      </c>
      <c r="N85" s="17">
        <f>IF($F85&lt;&gt;"OK","",INDEX(Cat_TMax,MATCH($C85,Cat_Nombre,0)))</f>
        <v/>
      </c>
      <c r="O85" s="18">
        <f>IF($F85&lt;&gt;"OK","",INDEX(Cat_POpus,MATCH($C85,Cat_Nombre,0)))</f>
        <v/>
      </c>
      <c r="P85" s="19">
        <f>IF($F85&lt;&gt;"OK","",M85/1000000*((1-O85)*UsdM_Sonnet+O85*UsdM_Opus))</f>
        <v/>
      </c>
      <c r="Q85" s="19">
        <f>IF($F85&lt;&gt;"OK","",N85/1000000*((1-O85)*UsdM_Sonnet+O85*UsdM_Opus))</f>
        <v/>
      </c>
      <c r="R85" s="19">
        <f>IF($F85&lt;&gt;"OK","",G85*TarifaHora)</f>
        <v/>
      </c>
      <c r="S85" s="19">
        <f>IF($F85&lt;&gt;"OK","",H85*TarifaHora)</f>
        <v/>
      </c>
      <c r="T85" s="10">
        <f>IF($F85&lt;&gt;"OK","",IF(COUNTIFS($A$2:$A85,$A85,$F$2:$F85,"OK")=1,MAX($T$1:$T84)+1,""))</f>
        <v/>
      </c>
    </row>
    <row r="86">
      <c r="A86" s="11" t="n"/>
      <c r="B86" s="11" t="n"/>
      <c r="C86" s="11" t="n"/>
      <c r="D86" s="11" t="n"/>
      <c r="E86" s="11" t="n"/>
      <c r="F86" s="10">
        <f>IF(AND($A86="",$B86="",$C86=""),"",IF($A86="","⚠ Falta hito",IF(ISNA(MATCH($C86,Cat_Nombre,0)),"⚠ Categoría inválida","OK")))</f>
        <v/>
      </c>
      <c r="G86" s="16">
        <f>IF($F86&lt;&gt;"OK","",IF(UPPER(TRIM($D86))="NO",INDEX(Cat_HMax,MATCH($C86,Cat_Nombre,0)),INDEX(Cat_HMin,MATCH($C86,Cat_Nombre,0))))</f>
        <v/>
      </c>
      <c r="H86" s="16">
        <f>IF($F86&lt;&gt;"OK","",INDEX(Cat_HMax,MATCH($C86,Cat_Nombre,0)))</f>
        <v/>
      </c>
      <c r="I86" s="16">
        <f>IF($F86&lt;&gt;"OK","",(G86+H86)/2)</f>
        <v/>
      </c>
      <c r="J86" s="16">
        <f>IF($F86&lt;&gt;"OK","",G86/HorasDia)</f>
        <v/>
      </c>
      <c r="K86" s="16">
        <f>IF($F86&lt;&gt;"OK","",I86/HorasDia)</f>
        <v/>
      </c>
      <c r="L86" s="16">
        <f>IF($F86&lt;&gt;"OK","",H86/HorasDia)</f>
        <v/>
      </c>
      <c r="M86" s="17">
        <f>IF($F86&lt;&gt;"OK","",IF(UPPER(TRIM($D86))="NO",INDEX(Cat_TMax,MATCH($C86,Cat_Nombre,0)),INDEX(Cat_TMin,MATCH($C86,Cat_Nombre,0))))</f>
        <v/>
      </c>
      <c r="N86" s="17">
        <f>IF($F86&lt;&gt;"OK","",INDEX(Cat_TMax,MATCH($C86,Cat_Nombre,0)))</f>
        <v/>
      </c>
      <c r="O86" s="18">
        <f>IF($F86&lt;&gt;"OK","",INDEX(Cat_POpus,MATCH($C86,Cat_Nombre,0)))</f>
        <v/>
      </c>
      <c r="P86" s="19">
        <f>IF($F86&lt;&gt;"OK","",M86/1000000*((1-O86)*UsdM_Sonnet+O86*UsdM_Opus))</f>
        <v/>
      </c>
      <c r="Q86" s="19">
        <f>IF($F86&lt;&gt;"OK","",N86/1000000*((1-O86)*UsdM_Sonnet+O86*UsdM_Opus))</f>
        <v/>
      </c>
      <c r="R86" s="19">
        <f>IF($F86&lt;&gt;"OK","",G86*TarifaHora)</f>
        <v/>
      </c>
      <c r="S86" s="19">
        <f>IF($F86&lt;&gt;"OK","",H86*TarifaHora)</f>
        <v/>
      </c>
      <c r="T86" s="10">
        <f>IF($F86&lt;&gt;"OK","",IF(COUNTIFS($A$2:$A86,$A86,$F$2:$F86,"OK")=1,MAX($T$1:$T85)+1,""))</f>
        <v/>
      </c>
    </row>
    <row r="87">
      <c r="A87" s="11" t="n"/>
      <c r="B87" s="11" t="n"/>
      <c r="C87" s="11" t="n"/>
      <c r="D87" s="11" t="n"/>
      <c r="E87" s="11" t="n"/>
      <c r="F87" s="10">
        <f>IF(AND($A87="",$B87="",$C87=""),"",IF($A87="","⚠ Falta hito",IF(ISNA(MATCH($C87,Cat_Nombre,0)),"⚠ Categoría inválida","OK")))</f>
        <v/>
      </c>
      <c r="G87" s="16">
        <f>IF($F87&lt;&gt;"OK","",IF(UPPER(TRIM($D87))="NO",INDEX(Cat_HMax,MATCH($C87,Cat_Nombre,0)),INDEX(Cat_HMin,MATCH($C87,Cat_Nombre,0))))</f>
        <v/>
      </c>
      <c r="H87" s="16">
        <f>IF($F87&lt;&gt;"OK","",INDEX(Cat_HMax,MATCH($C87,Cat_Nombre,0)))</f>
        <v/>
      </c>
      <c r="I87" s="16">
        <f>IF($F87&lt;&gt;"OK","",(G87+H87)/2)</f>
        <v/>
      </c>
      <c r="J87" s="16">
        <f>IF($F87&lt;&gt;"OK","",G87/HorasDia)</f>
        <v/>
      </c>
      <c r="K87" s="16">
        <f>IF($F87&lt;&gt;"OK","",I87/HorasDia)</f>
        <v/>
      </c>
      <c r="L87" s="16">
        <f>IF($F87&lt;&gt;"OK","",H87/HorasDia)</f>
        <v/>
      </c>
      <c r="M87" s="17">
        <f>IF($F87&lt;&gt;"OK","",IF(UPPER(TRIM($D87))="NO",INDEX(Cat_TMax,MATCH($C87,Cat_Nombre,0)),INDEX(Cat_TMin,MATCH($C87,Cat_Nombre,0))))</f>
        <v/>
      </c>
      <c r="N87" s="17">
        <f>IF($F87&lt;&gt;"OK","",INDEX(Cat_TMax,MATCH($C87,Cat_Nombre,0)))</f>
        <v/>
      </c>
      <c r="O87" s="18">
        <f>IF($F87&lt;&gt;"OK","",INDEX(Cat_POpus,MATCH($C87,Cat_Nombre,0)))</f>
        <v/>
      </c>
      <c r="P87" s="19">
        <f>IF($F87&lt;&gt;"OK","",M87/1000000*((1-O87)*UsdM_Sonnet+O87*UsdM_Opus))</f>
        <v/>
      </c>
      <c r="Q87" s="19">
        <f>IF($F87&lt;&gt;"OK","",N87/1000000*((1-O87)*UsdM_Sonnet+O87*UsdM_Opus))</f>
        <v/>
      </c>
      <c r="R87" s="19">
        <f>IF($F87&lt;&gt;"OK","",G87*TarifaHora)</f>
        <v/>
      </c>
      <c r="S87" s="19">
        <f>IF($F87&lt;&gt;"OK","",H87*TarifaHora)</f>
        <v/>
      </c>
      <c r="T87" s="10">
        <f>IF($F87&lt;&gt;"OK","",IF(COUNTIFS($A$2:$A87,$A87,$F$2:$F87,"OK")=1,MAX($T$1:$T86)+1,""))</f>
        <v/>
      </c>
    </row>
    <row r="88">
      <c r="A88" s="11" t="n"/>
      <c r="B88" s="11" t="n"/>
      <c r="C88" s="11" t="n"/>
      <c r="D88" s="11" t="n"/>
      <c r="E88" s="11" t="n"/>
      <c r="F88" s="10">
        <f>IF(AND($A88="",$B88="",$C88=""),"",IF($A88="","⚠ Falta hito",IF(ISNA(MATCH($C88,Cat_Nombre,0)),"⚠ Categoría inválida","OK")))</f>
        <v/>
      </c>
      <c r="G88" s="16">
        <f>IF($F88&lt;&gt;"OK","",IF(UPPER(TRIM($D88))="NO",INDEX(Cat_HMax,MATCH($C88,Cat_Nombre,0)),INDEX(Cat_HMin,MATCH($C88,Cat_Nombre,0))))</f>
        <v/>
      </c>
      <c r="H88" s="16">
        <f>IF($F88&lt;&gt;"OK","",INDEX(Cat_HMax,MATCH($C88,Cat_Nombre,0)))</f>
        <v/>
      </c>
      <c r="I88" s="16">
        <f>IF($F88&lt;&gt;"OK","",(G88+H88)/2)</f>
        <v/>
      </c>
      <c r="J88" s="16">
        <f>IF($F88&lt;&gt;"OK","",G88/HorasDia)</f>
        <v/>
      </c>
      <c r="K88" s="16">
        <f>IF($F88&lt;&gt;"OK","",I88/HorasDia)</f>
        <v/>
      </c>
      <c r="L88" s="16">
        <f>IF($F88&lt;&gt;"OK","",H88/HorasDia)</f>
        <v/>
      </c>
      <c r="M88" s="17">
        <f>IF($F88&lt;&gt;"OK","",IF(UPPER(TRIM($D88))="NO",INDEX(Cat_TMax,MATCH($C88,Cat_Nombre,0)),INDEX(Cat_TMin,MATCH($C88,Cat_Nombre,0))))</f>
        <v/>
      </c>
      <c r="N88" s="17">
        <f>IF($F88&lt;&gt;"OK","",INDEX(Cat_TMax,MATCH($C88,Cat_Nombre,0)))</f>
        <v/>
      </c>
      <c r="O88" s="18">
        <f>IF($F88&lt;&gt;"OK","",INDEX(Cat_POpus,MATCH($C88,Cat_Nombre,0)))</f>
        <v/>
      </c>
      <c r="P88" s="19">
        <f>IF($F88&lt;&gt;"OK","",M88/1000000*((1-O88)*UsdM_Sonnet+O88*UsdM_Opus))</f>
        <v/>
      </c>
      <c r="Q88" s="19">
        <f>IF($F88&lt;&gt;"OK","",N88/1000000*((1-O88)*UsdM_Sonnet+O88*UsdM_Opus))</f>
        <v/>
      </c>
      <c r="R88" s="19">
        <f>IF($F88&lt;&gt;"OK","",G88*TarifaHora)</f>
        <v/>
      </c>
      <c r="S88" s="19">
        <f>IF($F88&lt;&gt;"OK","",H88*TarifaHora)</f>
        <v/>
      </c>
      <c r="T88" s="10">
        <f>IF($F88&lt;&gt;"OK","",IF(COUNTIFS($A$2:$A88,$A88,$F$2:$F88,"OK")=1,MAX($T$1:$T87)+1,""))</f>
        <v/>
      </c>
    </row>
    <row r="89">
      <c r="A89" s="11" t="n"/>
      <c r="B89" s="11" t="n"/>
      <c r="C89" s="11" t="n"/>
      <c r="D89" s="11" t="n"/>
      <c r="E89" s="11" t="n"/>
      <c r="F89" s="10">
        <f>IF(AND($A89="",$B89="",$C89=""),"",IF($A89="","⚠ Falta hito",IF(ISNA(MATCH($C89,Cat_Nombre,0)),"⚠ Categoría inválida","OK")))</f>
        <v/>
      </c>
      <c r="G89" s="16">
        <f>IF($F89&lt;&gt;"OK","",IF(UPPER(TRIM($D89))="NO",INDEX(Cat_HMax,MATCH($C89,Cat_Nombre,0)),INDEX(Cat_HMin,MATCH($C89,Cat_Nombre,0))))</f>
        <v/>
      </c>
      <c r="H89" s="16">
        <f>IF($F89&lt;&gt;"OK","",INDEX(Cat_HMax,MATCH($C89,Cat_Nombre,0)))</f>
        <v/>
      </c>
      <c r="I89" s="16">
        <f>IF($F89&lt;&gt;"OK","",(G89+H89)/2)</f>
        <v/>
      </c>
      <c r="J89" s="16">
        <f>IF($F89&lt;&gt;"OK","",G89/HorasDia)</f>
        <v/>
      </c>
      <c r="K89" s="16">
        <f>IF($F89&lt;&gt;"OK","",I89/HorasDia)</f>
        <v/>
      </c>
      <c r="L89" s="16">
        <f>IF($F89&lt;&gt;"OK","",H89/HorasDia)</f>
        <v/>
      </c>
      <c r="M89" s="17">
        <f>IF($F89&lt;&gt;"OK","",IF(UPPER(TRIM($D89))="NO",INDEX(Cat_TMax,MATCH($C89,Cat_Nombre,0)),INDEX(Cat_TMin,MATCH($C89,Cat_Nombre,0))))</f>
        <v/>
      </c>
      <c r="N89" s="17">
        <f>IF($F89&lt;&gt;"OK","",INDEX(Cat_TMax,MATCH($C89,Cat_Nombre,0)))</f>
        <v/>
      </c>
      <c r="O89" s="18">
        <f>IF($F89&lt;&gt;"OK","",INDEX(Cat_POpus,MATCH($C89,Cat_Nombre,0)))</f>
        <v/>
      </c>
      <c r="P89" s="19">
        <f>IF($F89&lt;&gt;"OK","",M89/1000000*((1-O89)*UsdM_Sonnet+O89*UsdM_Opus))</f>
        <v/>
      </c>
      <c r="Q89" s="19">
        <f>IF($F89&lt;&gt;"OK","",N89/1000000*((1-O89)*UsdM_Sonnet+O89*UsdM_Opus))</f>
        <v/>
      </c>
      <c r="R89" s="19">
        <f>IF($F89&lt;&gt;"OK","",G89*TarifaHora)</f>
        <v/>
      </c>
      <c r="S89" s="19">
        <f>IF($F89&lt;&gt;"OK","",H89*TarifaHora)</f>
        <v/>
      </c>
      <c r="T89" s="10">
        <f>IF($F89&lt;&gt;"OK","",IF(COUNTIFS($A$2:$A89,$A89,$F$2:$F89,"OK")=1,MAX($T$1:$T88)+1,""))</f>
        <v/>
      </c>
    </row>
    <row r="90">
      <c r="A90" s="11" t="n"/>
      <c r="B90" s="11" t="n"/>
      <c r="C90" s="11" t="n"/>
      <c r="D90" s="11" t="n"/>
      <c r="E90" s="11" t="n"/>
      <c r="F90" s="10">
        <f>IF(AND($A90="",$B90="",$C90=""),"",IF($A90="","⚠ Falta hito",IF(ISNA(MATCH($C90,Cat_Nombre,0)),"⚠ Categoría inválida","OK")))</f>
        <v/>
      </c>
      <c r="G90" s="16">
        <f>IF($F90&lt;&gt;"OK","",IF(UPPER(TRIM($D90))="NO",INDEX(Cat_HMax,MATCH($C90,Cat_Nombre,0)),INDEX(Cat_HMin,MATCH($C90,Cat_Nombre,0))))</f>
        <v/>
      </c>
      <c r="H90" s="16">
        <f>IF($F90&lt;&gt;"OK","",INDEX(Cat_HMax,MATCH($C90,Cat_Nombre,0)))</f>
        <v/>
      </c>
      <c r="I90" s="16">
        <f>IF($F90&lt;&gt;"OK","",(G90+H90)/2)</f>
        <v/>
      </c>
      <c r="J90" s="16">
        <f>IF($F90&lt;&gt;"OK","",G90/HorasDia)</f>
        <v/>
      </c>
      <c r="K90" s="16">
        <f>IF($F90&lt;&gt;"OK","",I90/HorasDia)</f>
        <v/>
      </c>
      <c r="L90" s="16">
        <f>IF($F90&lt;&gt;"OK","",H90/HorasDia)</f>
        <v/>
      </c>
      <c r="M90" s="17">
        <f>IF($F90&lt;&gt;"OK","",IF(UPPER(TRIM($D90))="NO",INDEX(Cat_TMax,MATCH($C90,Cat_Nombre,0)),INDEX(Cat_TMin,MATCH($C90,Cat_Nombre,0))))</f>
        <v/>
      </c>
      <c r="N90" s="17">
        <f>IF($F90&lt;&gt;"OK","",INDEX(Cat_TMax,MATCH($C90,Cat_Nombre,0)))</f>
        <v/>
      </c>
      <c r="O90" s="18">
        <f>IF($F90&lt;&gt;"OK","",INDEX(Cat_POpus,MATCH($C90,Cat_Nombre,0)))</f>
        <v/>
      </c>
      <c r="P90" s="19">
        <f>IF($F90&lt;&gt;"OK","",M90/1000000*((1-O90)*UsdM_Sonnet+O90*UsdM_Opus))</f>
        <v/>
      </c>
      <c r="Q90" s="19">
        <f>IF($F90&lt;&gt;"OK","",N90/1000000*((1-O90)*UsdM_Sonnet+O90*UsdM_Opus))</f>
        <v/>
      </c>
      <c r="R90" s="19">
        <f>IF($F90&lt;&gt;"OK","",G90*TarifaHora)</f>
        <v/>
      </c>
      <c r="S90" s="19">
        <f>IF($F90&lt;&gt;"OK","",H90*TarifaHora)</f>
        <v/>
      </c>
      <c r="T90" s="10">
        <f>IF($F90&lt;&gt;"OK","",IF(COUNTIFS($A$2:$A90,$A90,$F$2:$F90,"OK")=1,MAX($T$1:$T89)+1,""))</f>
        <v/>
      </c>
    </row>
    <row r="91">
      <c r="A91" s="11" t="n"/>
      <c r="B91" s="11" t="n"/>
      <c r="C91" s="11" t="n"/>
      <c r="D91" s="11" t="n"/>
      <c r="E91" s="11" t="n"/>
      <c r="F91" s="10">
        <f>IF(AND($A91="",$B91="",$C91=""),"",IF($A91="","⚠ Falta hito",IF(ISNA(MATCH($C91,Cat_Nombre,0)),"⚠ Categoría inválida","OK")))</f>
        <v/>
      </c>
      <c r="G91" s="16">
        <f>IF($F91&lt;&gt;"OK","",IF(UPPER(TRIM($D91))="NO",INDEX(Cat_HMax,MATCH($C91,Cat_Nombre,0)),INDEX(Cat_HMin,MATCH($C91,Cat_Nombre,0))))</f>
        <v/>
      </c>
      <c r="H91" s="16">
        <f>IF($F91&lt;&gt;"OK","",INDEX(Cat_HMax,MATCH($C91,Cat_Nombre,0)))</f>
        <v/>
      </c>
      <c r="I91" s="16">
        <f>IF($F91&lt;&gt;"OK","",(G91+H91)/2)</f>
        <v/>
      </c>
      <c r="J91" s="16">
        <f>IF($F91&lt;&gt;"OK","",G91/HorasDia)</f>
        <v/>
      </c>
      <c r="K91" s="16">
        <f>IF($F91&lt;&gt;"OK","",I91/HorasDia)</f>
        <v/>
      </c>
      <c r="L91" s="16">
        <f>IF($F91&lt;&gt;"OK","",H91/HorasDia)</f>
        <v/>
      </c>
      <c r="M91" s="17">
        <f>IF($F91&lt;&gt;"OK","",IF(UPPER(TRIM($D91))="NO",INDEX(Cat_TMax,MATCH($C91,Cat_Nombre,0)),INDEX(Cat_TMin,MATCH($C91,Cat_Nombre,0))))</f>
        <v/>
      </c>
      <c r="N91" s="17">
        <f>IF($F91&lt;&gt;"OK","",INDEX(Cat_TMax,MATCH($C91,Cat_Nombre,0)))</f>
        <v/>
      </c>
      <c r="O91" s="18">
        <f>IF($F91&lt;&gt;"OK","",INDEX(Cat_POpus,MATCH($C91,Cat_Nombre,0)))</f>
        <v/>
      </c>
      <c r="P91" s="19">
        <f>IF($F91&lt;&gt;"OK","",M91/1000000*((1-O91)*UsdM_Sonnet+O91*UsdM_Opus))</f>
        <v/>
      </c>
      <c r="Q91" s="19">
        <f>IF($F91&lt;&gt;"OK","",N91/1000000*((1-O91)*UsdM_Sonnet+O91*UsdM_Opus))</f>
        <v/>
      </c>
      <c r="R91" s="19">
        <f>IF($F91&lt;&gt;"OK","",G91*TarifaHora)</f>
        <v/>
      </c>
      <c r="S91" s="19">
        <f>IF($F91&lt;&gt;"OK","",H91*TarifaHora)</f>
        <v/>
      </c>
      <c r="T91" s="10">
        <f>IF($F91&lt;&gt;"OK","",IF(COUNTIFS($A$2:$A91,$A91,$F$2:$F91,"OK")=1,MAX($T$1:$T90)+1,""))</f>
        <v/>
      </c>
    </row>
    <row r="92">
      <c r="A92" s="11" t="n"/>
      <c r="B92" s="11" t="n"/>
      <c r="C92" s="11" t="n"/>
      <c r="D92" s="11" t="n"/>
      <c r="E92" s="11" t="n"/>
      <c r="F92" s="10">
        <f>IF(AND($A92="",$B92="",$C92=""),"",IF($A92="","⚠ Falta hito",IF(ISNA(MATCH($C92,Cat_Nombre,0)),"⚠ Categoría inválida","OK")))</f>
        <v/>
      </c>
      <c r="G92" s="16">
        <f>IF($F92&lt;&gt;"OK","",IF(UPPER(TRIM($D92))="NO",INDEX(Cat_HMax,MATCH($C92,Cat_Nombre,0)),INDEX(Cat_HMin,MATCH($C92,Cat_Nombre,0))))</f>
        <v/>
      </c>
      <c r="H92" s="16">
        <f>IF($F92&lt;&gt;"OK","",INDEX(Cat_HMax,MATCH($C92,Cat_Nombre,0)))</f>
        <v/>
      </c>
      <c r="I92" s="16">
        <f>IF($F92&lt;&gt;"OK","",(G92+H92)/2)</f>
        <v/>
      </c>
      <c r="J92" s="16">
        <f>IF($F92&lt;&gt;"OK","",G92/HorasDia)</f>
        <v/>
      </c>
      <c r="K92" s="16">
        <f>IF($F92&lt;&gt;"OK","",I92/HorasDia)</f>
        <v/>
      </c>
      <c r="L92" s="16">
        <f>IF($F92&lt;&gt;"OK","",H92/HorasDia)</f>
        <v/>
      </c>
      <c r="M92" s="17">
        <f>IF($F92&lt;&gt;"OK","",IF(UPPER(TRIM($D92))="NO",INDEX(Cat_TMax,MATCH($C92,Cat_Nombre,0)),INDEX(Cat_TMin,MATCH($C92,Cat_Nombre,0))))</f>
        <v/>
      </c>
      <c r="N92" s="17">
        <f>IF($F92&lt;&gt;"OK","",INDEX(Cat_TMax,MATCH($C92,Cat_Nombre,0)))</f>
        <v/>
      </c>
      <c r="O92" s="18">
        <f>IF($F92&lt;&gt;"OK","",INDEX(Cat_POpus,MATCH($C92,Cat_Nombre,0)))</f>
        <v/>
      </c>
      <c r="P92" s="19">
        <f>IF($F92&lt;&gt;"OK","",M92/1000000*((1-O92)*UsdM_Sonnet+O92*UsdM_Opus))</f>
        <v/>
      </c>
      <c r="Q92" s="19">
        <f>IF($F92&lt;&gt;"OK","",N92/1000000*((1-O92)*UsdM_Sonnet+O92*UsdM_Opus))</f>
        <v/>
      </c>
      <c r="R92" s="19">
        <f>IF($F92&lt;&gt;"OK","",G92*TarifaHora)</f>
        <v/>
      </c>
      <c r="S92" s="19">
        <f>IF($F92&lt;&gt;"OK","",H92*TarifaHora)</f>
        <v/>
      </c>
      <c r="T92" s="10">
        <f>IF($F92&lt;&gt;"OK","",IF(COUNTIFS($A$2:$A92,$A92,$F$2:$F92,"OK")=1,MAX($T$1:$T91)+1,""))</f>
        <v/>
      </c>
    </row>
    <row r="93">
      <c r="A93" s="11" t="n"/>
      <c r="B93" s="11" t="n"/>
      <c r="C93" s="11" t="n"/>
      <c r="D93" s="11" t="n"/>
      <c r="E93" s="11" t="n"/>
      <c r="F93" s="10">
        <f>IF(AND($A93="",$B93="",$C93=""),"",IF($A93="","⚠ Falta hito",IF(ISNA(MATCH($C93,Cat_Nombre,0)),"⚠ Categoría inválida","OK")))</f>
        <v/>
      </c>
      <c r="G93" s="16">
        <f>IF($F93&lt;&gt;"OK","",IF(UPPER(TRIM($D93))="NO",INDEX(Cat_HMax,MATCH($C93,Cat_Nombre,0)),INDEX(Cat_HMin,MATCH($C93,Cat_Nombre,0))))</f>
        <v/>
      </c>
      <c r="H93" s="16">
        <f>IF($F93&lt;&gt;"OK","",INDEX(Cat_HMax,MATCH($C93,Cat_Nombre,0)))</f>
        <v/>
      </c>
      <c r="I93" s="16">
        <f>IF($F93&lt;&gt;"OK","",(G93+H93)/2)</f>
        <v/>
      </c>
      <c r="J93" s="16">
        <f>IF($F93&lt;&gt;"OK","",G93/HorasDia)</f>
        <v/>
      </c>
      <c r="K93" s="16">
        <f>IF($F93&lt;&gt;"OK","",I93/HorasDia)</f>
        <v/>
      </c>
      <c r="L93" s="16">
        <f>IF($F93&lt;&gt;"OK","",H93/HorasDia)</f>
        <v/>
      </c>
      <c r="M93" s="17">
        <f>IF($F93&lt;&gt;"OK","",IF(UPPER(TRIM($D93))="NO",INDEX(Cat_TMax,MATCH($C93,Cat_Nombre,0)),INDEX(Cat_TMin,MATCH($C93,Cat_Nombre,0))))</f>
        <v/>
      </c>
      <c r="N93" s="17">
        <f>IF($F93&lt;&gt;"OK","",INDEX(Cat_TMax,MATCH($C93,Cat_Nombre,0)))</f>
        <v/>
      </c>
      <c r="O93" s="18">
        <f>IF($F93&lt;&gt;"OK","",INDEX(Cat_POpus,MATCH($C93,Cat_Nombre,0)))</f>
        <v/>
      </c>
      <c r="P93" s="19">
        <f>IF($F93&lt;&gt;"OK","",M93/1000000*((1-O93)*UsdM_Sonnet+O93*UsdM_Opus))</f>
        <v/>
      </c>
      <c r="Q93" s="19">
        <f>IF($F93&lt;&gt;"OK","",N93/1000000*((1-O93)*UsdM_Sonnet+O93*UsdM_Opus))</f>
        <v/>
      </c>
      <c r="R93" s="19">
        <f>IF($F93&lt;&gt;"OK","",G93*TarifaHora)</f>
        <v/>
      </c>
      <c r="S93" s="19">
        <f>IF($F93&lt;&gt;"OK","",H93*TarifaHora)</f>
        <v/>
      </c>
      <c r="T93" s="10">
        <f>IF($F93&lt;&gt;"OK","",IF(COUNTIFS($A$2:$A93,$A93,$F$2:$F93,"OK")=1,MAX($T$1:$T92)+1,""))</f>
        <v/>
      </c>
    </row>
    <row r="94">
      <c r="A94" s="11" t="n"/>
      <c r="B94" s="11" t="n"/>
      <c r="C94" s="11" t="n"/>
      <c r="D94" s="11" t="n"/>
      <c r="E94" s="11" t="n"/>
      <c r="F94" s="10">
        <f>IF(AND($A94="",$B94="",$C94=""),"",IF($A94="","⚠ Falta hito",IF(ISNA(MATCH($C94,Cat_Nombre,0)),"⚠ Categoría inválida","OK")))</f>
        <v/>
      </c>
      <c r="G94" s="16">
        <f>IF($F94&lt;&gt;"OK","",IF(UPPER(TRIM($D94))="NO",INDEX(Cat_HMax,MATCH($C94,Cat_Nombre,0)),INDEX(Cat_HMin,MATCH($C94,Cat_Nombre,0))))</f>
        <v/>
      </c>
      <c r="H94" s="16">
        <f>IF($F94&lt;&gt;"OK","",INDEX(Cat_HMax,MATCH($C94,Cat_Nombre,0)))</f>
        <v/>
      </c>
      <c r="I94" s="16">
        <f>IF($F94&lt;&gt;"OK","",(G94+H94)/2)</f>
        <v/>
      </c>
      <c r="J94" s="16">
        <f>IF($F94&lt;&gt;"OK","",G94/HorasDia)</f>
        <v/>
      </c>
      <c r="K94" s="16">
        <f>IF($F94&lt;&gt;"OK","",I94/HorasDia)</f>
        <v/>
      </c>
      <c r="L94" s="16">
        <f>IF($F94&lt;&gt;"OK","",H94/HorasDia)</f>
        <v/>
      </c>
      <c r="M94" s="17">
        <f>IF($F94&lt;&gt;"OK","",IF(UPPER(TRIM($D94))="NO",INDEX(Cat_TMax,MATCH($C94,Cat_Nombre,0)),INDEX(Cat_TMin,MATCH($C94,Cat_Nombre,0))))</f>
        <v/>
      </c>
      <c r="N94" s="17">
        <f>IF($F94&lt;&gt;"OK","",INDEX(Cat_TMax,MATCH($C94,Cat_Nombre,0)))</f>
        <v/>
      </c>
      <c r="O94" s="18">
        <f>IF($F94&lt;&gt;"OK","",INDEX(Cat_POpus,MATCH($C94,Cat_Nombre,0)))</f>
        <v/>
      </c>
      <c r="P94" s="19">
        <f>IF($F94&lt;&gt;"OK","",M94/1000000*((1-O94)*UsdM_Sonnet+O94*UsdM_Opus))</f>
        <v/>
      </c>
      <c r="Q94" s="19">
        <f>IF($F94&lt;&gt;"OK","",N94/1000000*((1-O94)*UsdM_Sonnet+O94*UsdM_Opus))</f>
        <v/>
      </c>
      <c r="R94" s="19">
        <f>IF($F94&lt;&gt;"OK","",G94*TarifaHora)</f>
        <v/>
      </c>
      <c r="S94" s="19">
        <f>IF($F94&lt;&gt;"OK","",H94*TarifaHora)</f>
        <v/>
      </c>
      <c r="T94" s="10">
        <f>IF($F94&lt;&gt;"OK","",IF(COUNTIFS($A$2:$A94,$A94,$F$2:$F94,"OK")=1,MAX($T$1:$T93)+1,""))</f>
        <v/>
      </c>
    </row>
    <row r="95">
      <c r="A95" s="11" t="n"/>
      <c r="B95" s="11" t="n"/>
      <c r="C95" s="11" t="n"/>
      <c r="D95" s="11" t="n"/>
      <c r="E95" s="11" t="n"/>
      <c r="F95" s="10">
        <f>IF(AND($A95="",$B95="",$C95=""),"",IF($A95="","⚠ Falta hito",IF(ISNA(MATCH($C95,Cat_Nombre,0)),"⚠ Categoría inválida","OK")))</f>
        <v/>
      </c>
      <c r="G95" s="16">
        <f>IF($F95&lt;&gt;"OK","",IF(UPPER(TRIM($D95))="NO",INDEX(Cat_HMax,MATCH($C95,Cat_Nombre,0)),INDEX(Cat_HMin,MATCH($C95,Cat_Nombre,0))))</f>
        <v/>
      </c>
      <c r="H95" s="16">
        <f>IF($F95&lt;&gt;"OK","",INDEX(Cat_HMax,MATCH($C95,Cat_Nombre,0)))</f>
        <v/>
      </c>
      <c r="I95" s="16">
        <f>IF($F95&lt;&gt;"OK","",(G95+H95)/2)</f>
        <v/>
      </c>
      <c r="J95" s="16">
        <f>IF($F95&lt;&gt;"OK","",G95/HorasDia)</f>
        <v/>
      </c>
      <c r="K95" s="16">
        <f>IF($F95&lt;&gt;"OK","",I95/HorasDia)</f>
        <v/>
      </c>
      <c r="L95" s="16">
        <f>IF($F95&lt;&gt;"OK","",H95/HorasDia)</f>
        <v/>
      </c>
      <c r="M95" s="17">
        <f>IF($F95&lt;&gt;"OK","",IF(UPPER(TRIM($D95))="NO",INDEX(Cat_TMax,MATCH($C95,Cat_Nombre,0)),INDEX(Cat_TMin,MATCH($C95,Cat_Nombre,0))))</f>
        <v/>
      </c>
      <c r="N95" s="17">
        <f>IF($F95&lt;&gt;"OK","",INDEX(Cat_TMax,MATCH($C95,Cat_Nombre,0)))</f>
        <v/>
      </c>
      <c r="O95" s="18">
        <f>IF($F95&lt;&gt;"OK","",INDEX(Cat_POpus,MATCH($C95,Cat_Nombre,0)))</f>
        <v/>
      </c>
      <c r="P95" s="19">
        <f>IF($F95&lt;&gt;"OK","",M95/1000000*((1-O95)*UsdM_Sonnet+O95*UsdM_Opus))</f>
        <v/>
      </c>
      <c r="Q95" s="19">
        <f>IF($F95&lt;&gt;"OK","",N95/1000000*((1-O95)*UsdM_Sonnet+O95*UsdM_Opus))</f>
        <v/>
      </c>
      <c r="R95" s="19">
        <f>IF($F95&lt;&gt;"OK","",G95*TarifaHora)</f>
        <v/>
      </c>
      <c r="S95" s="19">
        <f>IF($F95&lt;&gt;"OK","",H95*TarifaHora)</f>
        <v/>
      </c>
      <c r="T95" s="10">
        <f>IF($F95&lt;&gt;"OK","",IF(COUNTIFS($A$2:$A95,$A95,$F$2:$F95,"OK")=1,MAX($T$1:$T94)+1,""))</f>
        <v/>
      </c>
    </row>
    <row r="96">
      <c r="A96" s="11" t="n"/>
      <c r="B96" s="11" t="n"/>
      <c r="C96" s="11" t="n"/>
      <c r="D96" s="11" t="n"/>
      <c r="E96" s="11" t="n"/>
      <c r="F96" s="10">
        <f>IF(AND($A96="",$B96="",$C96=""),"",IF($A96="","⚠ Falta hito",IF(ISNA(MATCH($C96,Cat_Nombre,0)),"⚠ Categoría inválida","OK")))</f>
        <v/>
      </c>
      <c r="G96" s="16">
        <f>IF($F96&lt;&gt;"OK","",IF(UPPER(TRIM($D96))="NO",INDEX(Cat_HMax,MATCH($C96,Cat_Nombre,0)),INDEX(Cat_HMin,MATCH($C96,Cat_Nombre,0))))</f>
        <v/>
      </c>
      <c r="H96" s="16">
        <f>IF($F96&lt;&gt;"OK","",INDEX(Cat_HMax,MATCH($C96,Cat_Nombre,0)))</f>
        <v/>
      </c>
      <c r="I96" s="16">
        <f>IF($F96&lt;&gt;"OK","",(G96+H96)/2)</f>
        <v/>
      </c>
      <c r="J96" s="16">
        <f>IF($F96&lt;&gt;"OK","",G96/HorasDia)</f>
        <v/>
      </c>
      <c r="K96" s="16">
        <f>IF($F96&lt;&gt;"OK","",I96/HorasDia)</f>
        <v/>
      </c>
      <c r="L96" s="16">
        <f>IF($F96&lt;&gt;"OK","",H96/HorasDia)</f>
        <v/>
      </c>
      <c r="M96" s="17">
        <f>IF($F96&lt;&gt;"OK","",IF(UPPER(TRIM($D96))="NO",INDEX(Cat_TMax,MATCH($C96,Cat_Nombre,0)),INDEX(Cat_TMin,MATCH($C96,Cat_Nombre,0))))</f>
        <v/>
      </c>
      <c r="N96" s="17">
        <f>IF($F96&lt;&gt;"OK","",INDEX(Cat_TMax,MATCH($C96,Cat_Nombre,0)))</f>
        <v/>
      </c>
      <c r="O96" s="18">
        <f>IF($F96&lt;&gt;"OK","",INDEX(Cat_POpus,MATCH($C96,Cat_Nombre,0)))</f>
        <v/>
      </c>
      <c r="P96" s="19">
        <f>IF($F96&lt;&gt;"OK","",M96/1000000*((1-O96)*UsdM_Sonnet+O96*UsdM_Opus))</f>
        <v/>
      </c>
      <c r="Q96" s="19">
        <f>IF($F96&lt;&gt;"OK","",N96/1000000*((1-O96)*UsdM_Sonnet+O96*UsdM_Opus))</f>
        <v/>
      </c>
      <c r="R96" s="19">
        <f>IF($F96&lt;&gt;"OK","",G96*TarifaHora)</f>
        <v/>
      </c>
      <c r="S96" s="19">
        <f>IF($F96&lt;&gt;"OK","",H96*TarifaHora)</f>
        <v/>
      </c>
      <c r="T96" s="10">
        <f>IF($F96&lt;&gt;"OK","",IF(COUNTIFS($A$2:$A96,$A96,$F$2:$F96,"OK")=1,MAX($T$1:$T95)+1,""))</f>
        <v/>
      </c>
    </row>
    <row r="97">
      <c r="A97" s="11" t="n"/>
      <c r="B97" s="11" t="n"/>
      <c r="C97" s="11" t="n"/>
      <c r="D97" s="11" t="n"/>
      <c r="E97" s="11" t="n"/>
      <c r="F97" s="10">
        <f>IF(AND($A97="",$B97="",$C97=""),"",IF($A97="","⚠ Falta hito",IF(ISNA(MATCH($C97,Cat_Nombre,0)),"⚠ Categoría inválida","OK")))</f>
        <v/>
      </c>
      <c r="G97" s="16">
        <f>IF($F97&lt;&gt;"OK","",IF(UPPER(TRIM($D97))="NO",INDEX(Cat_HMax,MATCH($C97,Cat_Nombre,0)),INDEX(Cat_HMin,MATCH($C97,Cat_Nombre,0))))</f>
        <v/>
      </c>
      <c r="H97" s="16">
        <f>IF($F97&lt;&gt;"OK","",INDEX(Cat_HMax,MATCH($C97,Cat_Nombre,0)))</f>
        <v/>
      </c>
      <c r="I97" s="16">
        <f>IF($F97&lt;&gt;"OK","",(G97+H97)/2)</f>
        <v/>
      </c>
      <c r="J97" s="16">
        <f>IF($F97&lt;&gt;"OK","",G97/HorasDia)</f>
        <v/>
      </c>
      <c r="K97" s="16">
        <f>IF($F97&lt;&gt;"OK","",I97/HorasDia)</f>
        <v/>
      </c>
      <c r="L97" s="16">
        <f>IF($F97&lt;&gt;"OK","",H97/HorasDia)</f>
        <v/>
      </c>
      <c r="M97" s="17">
        <f>IF($F97&lt;&gt;"OK","",IF(UPPER(TRIM($D97))="NO",INDEX(Cat_TMax,MATCH($C97,Cat_Nombre,0)),INDEX(Cat_TMin,MATCH($C97,Cat_Nombre,0))))</f>
        <v/>
      </c>
      <c r="N97" s="17">
        <f>IF($F97&lt;&gt;"OK","",INDEX(Cat_TMax,MATCH($C97,Cat_Nombre,0)))</f>
        <v/>
      </c>
      <c r="O97" s="18">
        <f>IF($F97&lt;&gt;"OK","",INDEX(Cat_POpus,MATCH($C97,Cat_Nombre,0)))</f>
        <v/>
      </c>
      <c r="P97" s="19">
        <f>IF($F97&lt;&gt;"OK","",M97/1000000*((1-O97)*UsdM_Sonnet+O97*UsdM_Opus))</f>
        <v/>
      </c>
      <c r="Q97" s="19">
        <f>IF($F97&lt;&gt;"OK","",N97/1000000*((1-O97)*UsdM_Sonnet+O97*UsdM_Opus))</f>
        <v/>
      </c>
      <c r="R97" s="19">
        <f>IF($F97&lt;&gt;"OK","",G97*TarifaHora)</f>
        <v/>
      </c>
      <c r="S97" s="19">
        <f>IF($F97&lt;&gt;"OK","",H97*TarifaHora)</f>
        <v/>
      </c>
      <c r="T97" s="10">
        <f>IF($F97&lt;&gt;"OK","",IF(COUNTIFS($A$2:$A97,$A97,$F$2:$F97,"OK")=1,MAX($T$1:$T96)+1,""))</f>
        <v/>
      </c>
    </row>
    <row r="98">
      <c r="A98" s="11" t="n"/>
      <c r="B98" s="11" t="n"/>
      <c r="C98" s="11" t="n"/>
      <c r="D98" s="11" t="n"/>
      <c r="E98" s="11" t="n"/>
      <c r="F98" s="10">
        <f>IF(AND($A98="",$B98="",$C98=""),"",IF($A98="","⚠ Falta hito",IF(ISNA(MATCH($C98,Cat_Nombre,0)),"⚠ Categoría inválida","OK")))</f>
        <v/>
      </c>
      <c r="G98" s="16">
        <f>IF($F98&lt;&gt;"OK","",IF(UPPER(TRIM($D98))="NO",INDEX(Cat_HMax,MATCH($C98,Cat_Nombre,0)),INDEX(Cat_HMin,MATCH($C98,Cat_Nombre,0))))</f>
        <v/>
      </c>
      <c r="H98" s="16">
        <f>IF($F98&lt;&gt;"OK","",INDEX(Cat_HMax,MATCH($C98,Cat_Nombre,0)))</f>
        <v/>
      </c>
      <c r="I98" s="16">
        <f>IF($F98&lt;&gt;"OK","",(G98+H98)/2)</f>
        <v/>
      </c>
      <c r="J98" s="16">
        <f>IF($F98&lt;&gt;"OK","",G98/HorasDia)</f>
        <v/>
      </c>
      <c r="K98" s="16">
        <f>IF($F98&lt;&gt;"OK","",I98/HorasDia)</f>
        <v/>
      </c>
      <c r="L98" s="16">
        <f>IF($F98&lt;&gt;"OK","",H98/HorasDia)</f>
        <v/>
      </c>
      <c r="M98" s="17">
        <f>IF($F98&lt;&gt;"OK","",IF(UPPER(TRIM($D98))="NO",INDEX(Cat_TMax,MATCH($C98,Cat_Nombre,0)),INDEX(Cat_TMin,MATCH($C98,Cat_Nombre,0))))</f>
        <v/>
      </c>
      <c r="N98" s="17">
        <f>IF($F98&lt;&gt;"OK","",INDEX(Cat_TMax,MATCH($C98,Cat_Nombre,0)))</f>
        <v/>
      </c>
      <c r="O98" s="18">
        <f>IF($F98&lt;&gt;"OK","",INDEX(Cat_POpus,MATCH($C98,Cat_Nombre,0)))</f>
        <v/>
      </c>
      <c r="P98" s="19">
        <f>IF($F98&lt;&gt;"OK","",M98/1000000*((1-O98)*UsdM_Sonnet+O98*UsdM_Opus))</f>
        <v/>
      </c>
      <c r="Q98" s="19">
        <f>IF($F98&lt;&gt;"OK","",N98/1000000*((1-O98)*UsdM_Sonnet+O98*UsdM_Opus))</f>
        <v/>
      </c>
      <c r="R98" s="19">
        <f>IF($F98&lt;&gt;"OK","",G98*TarifaHora)</f>
        <v/>
      </c>
      <c r="S98" s="19">
        <f>IF($F98&lt;&gt;"OK","",H98*TarifaHora)</f>
        <v/>
      </c>
      <c r="T98" s="10">
        <f>IF($F98&lt;&gt;"OK","",IF(COUNTIFS($A$2:$A98,$A98,$F$2:$F98,"OK")=1,MAX($T$1:$T97)+1,""))</f>
        <v/>
      </c>
    </row>
    <row r="99">
      <c r="A99" s="11" t="n"/>
      <c r="B99" s="11" t="n"/>
      <c r="C99" s="11" t="n"/>
      <c r="D99" s="11" t="n"/>
      <c r="E99" s="11" t="n"/>
      <c r="F99" s="10">
        <f>IF(AND($A99="",$B99="",$C99=""),"",IF($A99="","⚠ Falta hito",IF(ISNA(MATCH($C99,Cat_Nombre,0)),"⚠ Categoría inválida","OK")))</f>
        <v/>
      </c>
      <c r="G99" s="16">
        <f>IF($F99&lt;&gt;"OK","",IF(UPPER(TRIM($D99))="NO",INDEX(Cat_HMax,MATCH($C99,Cat_Nombre,0)),INDEX(Cat_HMin,MATCH($C99,Cat_Nombre,0))))</f>
        <v/>
      </c>
      <c r="H99" s="16">
        <f>IF($F99&lt;&gt;"OK","",INDEX(Cat_HMax,MATCH($C99,Cat_Nombre,0)))</f>
        <v/>
      </c>
      <c r="I99" s="16">
        <f>IF($F99&lt;&gt;"OK","",(G99+H99)/2)</f>
        <v/>
      </c>
      <c r="J99" s="16">
        <f>IF($F99&lt;&gt;"OK","",G99/HorasDia)</f>
        <v/>
      </c>
      <c r="K99" s="16">
        <f>IF($F99&lt;&gt;"OK","",I99/HorasDia)</f>
        <v/>
      </c>
      <c r="L99" s="16">
        <f>IF($F99&lt;&gt;"OK","",H99/HorasDia)</f>
        <v/>
      </c>
      <c r="M99" s="17">
        <f>IF($F99&lt;&gt;"OK","",IF(UPPER(TRIM($D99))="NO",INDEX(Cat_TMax,MATCH($C99,Cat_Nombre,0)),INDEX(Cat_TMin,MATCH($C99,Cat_Nombre,0))))</f>
        <v/>
      </c>
      <c r="N99" s="17">
        <f>IF($F99&lt;&gt;"OK","",INDEX(Cat_TMax,MATCH($C99,Cat_Nombre,0)))</f>
        <v/>
      </c>
      <c r="O99" s="18">
        <f>IF($F99&lt;&gt;"OK","",INDEX(Cat_POpus,MATCH($C99,Cat_Nombre,0)))</f>
        <v/>
      </c>
      <c r="P99" s="19">
        <f>IF($F99&lt;&gt;"OK","",M99/1000000*((1-O99)*UsdM_Sonnet+O99*UsdM_Opus))</f>
        <v/>
      </c>
      <c r="Q99" s="19">
        <f>IF($F99&lt;&gt;"OK","",N99/1000000*((1-O99)*UsdM_Sonnet+O99*UsdM_Opus))</f>
        <v/>
      </c>
      <c r="R99" s="19">
        <f>IF($F99&lt;&gt;"OK","",G99*TarifaHora)</f>
        <v/>
      </c>
      <c r="S99" s="19">
        <f>IF($F99&lt;&gt;"OK","",H99*TarifaHora)</f>
        <v/>
      </c>
      <c r="T99" s="10">
        <f>IF($F99&lt;&gt;"OK","",IF(COUNTIFS($A$2:$A99,$A99,$F$2:$F99,"OK")=1,MAX($T$1:$T98)+1,""))</f>
        <v/>
      </c>
    </row>
    <row r="100">
      <c r="A100" s="11" t="n"/>
      <c r="B100" s="11" t="n"/>
      <c r="C100" s="11" t="n"/>
      <c r="D100" s="11" t="n"/>
      <c r="E100" s="11" t="n"/>
      <c r="F100" s="10">
        <f>IF(AND($A100="",$B100="",$C100=""),"",IF($A100="","⚠ Falta hito",IF(ISNA(MATCH($C100,Cat_Nombre,0)),"⚠ Categoría inválida","OK")))</f>
        <v/>
      </c>
      <c r="G100" s="16">
        <f>IF($F100&lt;&gt;"OK","",IF(UPPER(TRIM($D100))="NO",INDEX(Cat_HMax,MATCH($C100,Cat_Nombre,0)),INDEX(Cat_HMin,MATCH($C100,Cat_Nombre,0))))</f>
        <v/>
      </c>
      <c r="H100" s="16">
        <f>IF($F100&lt;&gt;"OK","",INDEX(Cat_HMax,MATCH($C100,Cat_Nombre,0)))</f>
        <v/>
      </c>
      <c r="I100" s="16">
        <f>IF($F100&lt;&gt;"OK","",(G100+H100)/2)</f>
        <v/>
      </c>
      <c r="J100" s="16">
        <f>IF($F100&lt;&gt;"OK","",G100/HorasDia)</f>
        <v/>
      </c>
      <c r="K100" s="16">
        <f>IF($F100&lt;&gt;"OK","",I100/HorasDia)</f>
        <v/>
      </c>
      <c r="L100" s="16">
        <f>IF($F100&lt;&gt;"OK","",H100/HorasDia)</f>
        <v/>
      </c>
      <c r="M100" s="17">
        <f>IF($F100&lt;&gt;"OK","",IF(UPPER(TRIM($D100))="NO",INDEX(Cat_TMax,MATCH($C100,Cat_Nombre,0)),INDEX(Cat_TMin,MATCH($C100,Cat_Nombre,0))))</f>
        <v/>
      </c>
      <c r="N100" s="17">
        <f>IF($F100&lt;&gt;"OK","",INDEX(Cat_TMax,MATCH($C100,Cat_Nombre,0)))</f>
        <v/>
      </c>
      <c r="O100" s="18">
        <f>IF($F100&lt;&gt;"OK","",INDEX(Cat_POpus,MATCH($C100,Cat_Nombre,0)))</f>
        <v/>
      </c>
      <c r="P100" s="19">
        <f>IF($F100&lt;&gt;"OK","",M100/1000000*((1-O100)*UsdM_Sonnet+O100*UsdM_Opus))</f>
        <v/>
      </c>
      <c r="Q100" s="19">
        <f>IF($F100&lt;&gt;"OK","",N100/1000000*((1-O100)*UsdM_Sonnet+O100*UsdM_Opus))</f>
        <v/>
      </c>
      <c r="R100" s="19">
        <f>IF($F100&lt;&gt;"OK","",G100*TarifaHora)</f>
        <v/>
      </c>
      <c r="S100" s="19">
        <f>IF($F100&lt;&gt;"OK","",H100*TarifaHora)</f>
        <v/>
      </c>
      <c r="T100" s="10">
        <f>IF($F100&lt;&gt;"OK","",IF(COUNTIFS($A$2:$A100,$A100,$F$2:$F100,"OK")=1,MAX($T$1:$T99)+1,""))</f>
        <v/>
      </c>
    </row>
    <row r="101">
      <c r="A101" s="11" t="n"/>
      <c r="B101" s="11" t="n"/>
      <c r="C101" s="11" t="n"/>
      <c r="D101" s="11" t="n"/>
      <c r="E101" s="11" t="n"/>
      <c r="F101" s="10">
        <f>IF(AND($A101="",$B101="",$C101=""),"",IF($A101="","⚠ Falta hito",IF(ISNA(MATCH($C101,Cat_Nombre,0)),"⚠ Categoría inválida","OK")))</f>
        <v/>
      </c>
      <c r="G101" s="16">
        <f>IF($F101&lt;&gt;"OK","",IF(UPPER(TRIM($D101))="NO",INDEX(Cat_HMax,MATCH($C101,Cat_Nombre,0)),INDEX(Cat_HMin,MATCH($C101,Cat_Nombre,0))))</f>
        <v/>
      </c>
      <c r="H101" s="16">
        <f>IF($F101&lt;&gt;"OK","",INDEX(Cat_HMax,MATCH($C101,Cat_Nombre,0)))</f>
        <v/>
      </c>
      <c r="I101" s="16">
        <f>IF($F101&lt;&gt;"OK","",(G101+H101)/2)</f>
        <v/>
      </c>
      <c r="J101" s="16">
        <f>IF($F101&lt;&gt;"OK","",G101/HorasDia)</f>
        <v/>
      </c>
      <c r="K101" s="16">
        <f>IF($F101&lt;&gt;"OK","",I101/HorasDia)</f>
        <v/>
      </c>
      <c r="L101" s="16">
        <f>IF($F101&lt;&gt;"OK","",H101/HorasDia)</f>
        <v/>
      </c>
      <c r="M101" s="17">
        <f>IF($F101&lt;&gt;"OK","",IF(UPPER(TRIM($D101))="NO",INDEX(Cat_TMax,MATCH($C101,Cat_Nombre,0)),INDEX(Cat_TMin,MATCH($C101,Cat_Nombre,0))))</f>
        <v/>
      </c>
      <c r="N101" s="17">
        <f>IF($F101&lt;&gt;"OK","",INDEX(Cat_TMax,MATCH($C101,Cat_Nombre,0)))</f>
        <v/>
      </c>
      <c r="O101" s="18">
        <f>IF($F101&lt;&gt;"OK","",INDEX(Cat_POpus,MATCH($C101,Cat_Nombre,0)))</f>
        <v/>
      </c>
      <c r="P101" s="19">
        <f>IF($F101&lt;&gt;"OK","",M101/1000000*((1-O101)*UsdM_Sonnet+O101*UsdM_Opus))</f>
        <v/>
      </c>
      <c r="Q101" s="19">
        <f>IF($F101&lt;&gt;"OK","",N101/1000000*((1-O101)*UsdM_Sonnet+O101*UsdM_Opus))</f>
        <v/>
      </c>
      <c r="R101" s="19">
        <f>IF($F101&lt;&gt;"OK","",G101*TarifaHora)</f>
        <v/>
      </c>
      <c r="S101" s="19">
        <f>IF($F101&lt;&gt;"OK","",H101*TarifaHora)</f>
        <v/>
      </c>
      <c r="T101" s="10">
        <f>IF($F101&lt;&gt;"OK","",IF(COUNTIFS($A$2:$A101,$A101,$F$2:$F101,"OK")=1,MAX($T$1:$T100)+1,""))</f>
        <v/>
      </c>
    </row>
    <row r="102">
      <c r="A102" s="11" t="n"/>
      <c r="B102" s="11" t="n"/>
      <c r="C102" s="11" t="n"/>
      <c r="D102" s="11" t="n"/>
      <c r="E102" s="11" t="n"/>
      <c r="F102" s="10">
        <f>IF(AND($A102="",$B102="",$C102=""),"",IF($A102="","⚠ Falta hito",IF(ISNA(MATCH($C102,Cat_Nombre,0)),"⚠ Categoría inválida","OK")))</f>
        <v/>
      </c>
      <c r="G102" s="16">
        <f>IF($F102&lt;&gt;"OK","",IF(UPPER(TRIM($D102))="NO",INDEX(Cat_HMax,MATCH($C102,Cat_Nombre,0)),INDEX(Cat_HMin,MATCH($C102,Cat_Nombre,0))))</f>
        <v/>
      </c>
      <c r="H102" s="16">
        <f>IF($F102&lt;&gt;"OK","",INDEX(Cat_HMax,MATCH($C102,Cat_Nombre,0)))</f>
        <v/>
      </c>
      <c r="I102" s="16">
        <f>IF($F102&lt;&gt;"OK","",(G102+H102)/2)</f>
        <v/>
      </c>
      <c r="J102" s="16">
        <f>IF($F102&lt;&gt;"OK","",G102/HorasDia)</f>
        <v/>
      </c>
      <c r="K102" s="16">
        <f>IF($F102&lt;&gt;"OK","",I102/HorasDia)</f>
        <v/>
      </c>
      <c r="L102" s="16">
        <f>IF($F102&lt;&gt;"OK","",H102/HorasDia)</f>
        <v/>
      </c>
      <c r="M102" s="17">
        <f>IF($F102&lt;&gt;"OK","",IF(UPPER(TRIM($D102))="NO",INDEX(Cat_TMax,MATCH($C102,Cat_Nombre,0)),INDEX(Cat_TMin,MATCH($C102,Cat_Nombre,0))))</f>
        <v/>
      </c>
      <c r="N102" s="17">
        <f>IF($F102&lt;&gt;"OK","",INDEX(Cat_TMax,MATCH($C102,Cat_Nombre,0)))</f>
        <v/>
      </c>
      <c r="O102" s="18">
        <f>IF($F102&lt;&gt;"OK","",INDEX(Cat_POpus,MATCH($C102,Cat_Nombre,0)))</f>
        <v/>
      </c>
      <c r="P102" s="19">
        <f>IF($F102&lt;&gt;"OK","",M102/1000000*((1-O102)*UsdM_Sonnet+O102*UsdM_Opus))</f>
        <v/>
      </c>
      <c r="Q102" s="19">
        <f>IF($F102&lt;&gt;"OK","",N102/1000000*((1-O102)*UsdM_Sonnet+O102*UsdM_Opus))</f>
        <v/>
      </c>
      <c r="R102" s="19">
        <f>IF($F102&lt;&gt;"OK","",G102*TarifaHora)</f>
        <v/>
      </c>
      <c r="S102" s="19">
        <f>IF($F102&lt;&gt;"OK","",H102*TarifaHora)</f>
        <v/>
      </c>
      <c r="T102" s="10">
        <f>IF($F102&lt;&gt;"OK","",IF(COUNTIFS($A$2:$A102,$A102,$F$2:$F102,"OK")=1,MAX($T$1:$T101)+1,""))</f>
        <v/>
      </c>
    </row>
    <row r="103">
      <c r="A103" s="11" t="n"/>
      <c r="B103" s="11" t="n"/>
      <c r="C103" s="11" t="n"/>
      <c r="D103" s="11" t="n"/>
      <c r="E103" s="11" t="n"/>
      <c r="F103" s="10">
        <f>IF(AND($A103="",$B103="",$C103=""),"",IF($A103="","⚠ Falta hito",IF(ISNA(MATCH($C103,Cat_Nombre,0)),"⚠ Categoría inválida","OK")))</f>
        <v/>
      </c>
      <c r="G103" s="16">
        <f>IF($F103&lt;&gt;"OK","",IF(UPPER(TRIM($D103))="NO",INDEX(Cat_HMax,MATCH($C103,Cat_Nombre,0)),INDEX(Cat_HMin,MATCH($C103,Cat_Nombre,0))))</f>
        <v/>
      </c>
      <c r="H103" s="16">
        <f>IF($F103&lt;&gt;"OK","",INDEX(Cat_HMax,MATCH($C103,Cat_Nombre,0)))</f>
        <v/>
      </c>
      <c r="I103" s="16">
        <f>IF($F103&lt;&gt;"OK","",(G103+H103)/2)</f>
        <v/>
      </c>
      <c r="J103" s="16">
        <f>IF($F103&lt;&gt;"OK","",G103/HorasDia)</f>
        <v/>
      </c>
      <c r="K103" s="16">
        <f>IF($F103&lt;&gt;"OK","",I103/HorasDia)</f>
        <v/>
      </c>
      <c r="L103" s="16">
        <f>IF($F103&lt;&gt;"OK","",H103/HorasDia)</f>
        <v/>
      </c>
      <c r="M103" s="17">
        <f>IF($F103&lt;&gt;"OK","",IF(UPPER(TRIM($D103))="NO",INDEX(Cat_TMax,MATCH($C103,Cat_Nombre,0)),INDEX(Cat_TMin,MATCH($C103,Cat_Nombre,0))))</f>
        <v/>
      </c>
      <c r="N103" s="17">
        <f>IF($F103&lt;&gt;"OK","",INDEX(Cat_TMax,MATCH($C103,Cat_Nombre,0)))</f>
        <v/>
      </c>
      <c r="O103" s="18">
        <f>IF($F103&lt;&gt;"OK","",INDEX(Cat_POpus,MATCH($C103,Cat_Nombre,0)))</f>
        <v/>
      </c>
      <c r="P103" s="19">
        <f>IF($F103&lt;&gt;"OK","",M103/1000000*((1-O103)*UsdM_Sonnet+O103*UsdM_Opus))</f>
        <v/>
      </c>
      <c r="Q103" s="19">
        <f>IF($F103&lt;&gt;"OK","",N103/1000000*((1-O103)*UsdM_Sonnet+O103*UsdM_Opus))</f>
        <v/>
      </c>
      <c r="R103" s="19">
        <f>IF($F103&lt;&gt;"OK","",G103*TarifaHora)</f>
        <v/>
      </c>
      <c r="S103" s="19">
        <f>IF($F103&lt;&gt;"OK","",H103*TarifaHora)</f>
        <v/>
      </c>
      <c r="T103" s="10">
        <f>IF($F103&lt;&gt;"OK","",IF(COUNTIFS($A$2:$A103,$A103,$F$2:$F103,"OK")=1,MAX($T$1:$T102)+1,""))</f>
        <v/>
      </c>
    </row>
    <row r="104">
      <c r="A104" s="11" t="n"/>
      <c r="B104" s="11" t="n"/>
      <c r="C104" s="11" t="n"/>
      <c r="D104" s="11" t="n"/>
      <c r="E104" s="11" t="n"/>
      <c r="F104" s="10">
        <f>IF(AND($A104="",$B104="",$C104=""),"",IF($A104="","⚠ Falta hito",IF(ISNA(MATCH($C104,Cat_Nombre,0)),"⚠ Categoría inválida","OK")))</f>
        <v/>
      </c>
      <c r="G104" s="16">
        <f>IF($F104&lt;&gt;"OK","",IF(UPPER(TRIM($D104))="NO",INDEX(Cat_HMax,MATCH($C104,Cat_Nombre,0)),INDEX(Cat_HMin,MATCH($C104,Cat_Nombre,0))))</f>
        <v/>
      </c>
      <c r="H104" s="16">
        <f>IF($F104&lt;&gt;"OK","",INDEX(Cat_HMax,MATCH($C104,Cat_Nombre,0)))</f>
        <v/>
      </c>
      <c r="I104" s="16">
        <f>IF($F104&lt;&gt;"OK","",(G104+H104)/2)</f>
        <v/>
      </c>
      <c r="J104" s="16">
        <f>IF($F104&lt;&gt;"OK","",G104/HorasDia)</f>
        <v/>
      </c>
      <c r="K104" s="16">
        <f>IF($F104&lt;&gt;"OK","",I104/HorasDia)</f>
        <v/>
      </c>
      <c r="L104" s="16">
        <f>IF($F104&lt;&gt;"OK","",H104/HorasDia)</f>
        <v/>
      </c>
      <c r="M104" s="17">
        <f>IF($F104&lt;&gt;"OK","",IF(UPPER(TRIM($D104))="NO",INDEX(Cat_TMax,MATCH($C104,Cat_Nombre,0)),INDEX(Cat_TMin,MATCH($C104,Cat_Nombre,0))))</f>
        <v/>
      </c>
      <c r="N104" s="17">
        <f>IF($F104&lt;&gt;"OK","",INDEX(Cat_TMax,MATCH($C104,Cat_Nombre,0)))</f>
        <v/>
      </c>
      <c r="O104" s="18">
        <f>IF($F104&lt;&gt;"OK","",INDEX(Cat_POpus,MATCH($C104,Cat_Nombre,0)))</f>
        <v/>
      </c>
      <c r="P104" s="19">
        <f>IF($F104&lt;&gt;"OK","",M104/1000000*((1-O104)*UsdM_Sonnet+O104*UsdM_Opus))</f>
        <v/>
      </c>
      <c r="Q104" s="19">
        <f>IF($F104&lt;&gt;"OK","",N104/1000000*((1-O104)*UsdM_Sonnet+O104*UsdM_Opus))</f>
        <v/>
      </c>
      <c r="R104" s="19">
        <f>IF($F104&lt;&gt;"OK","",G104*TarifaHora)</f>
        <v/>
      </c>
      <c r="S104" s="19">
        <f>IF($F104&lt;&gt;"OK","",H104*TarifaHora)</f>
        <v/>
      </c>
      <c r="T104" s="10">
        <f>IF($F104&lt;&gt;"OK","",IF(COUNTIFS($A$2:$A104,$A104,$F$2:$F104,"OK")=1,MAX($T$1:$T103)+1,""))</f>
        <v/>
      </c>
    </row>
    <row r="105">
      <c r="A105" s="11" t="n"/>
      <c r="B105" s="11" t="n"/>
      <c r="C105" s="11" t="n"/>
      <c r="D105" s="11" t="n"/>
      <c r="E105" s="11" t="n"/>
      <c r="F105" s="10">
        <f>IF(AND($A105="",$B105="",$C105=""),"",IF($A105="","⚠ Falta hito",IF(ISNA(MATCH($C105,Cat_Nombre,0)),"⚠ Categoría inválida","OK")))</f>
        <v/>
      </c>
      <c r="G105" s="16">
        <f>IF($F105&lt;&gt;"OK","",IF(UPPER(TRIM($D105))="NO",INDEX(Cat_HMax,MATCH($C105,Cat_Nombre,0)),INDEX(Cat_HMin,MATCH($C105,Cat_Nombre,0))))</f>
        <v/>
      </c>
      <c r="H105" s="16">
        <f>IF($F105&lt;&gt;"OK","",INDEX(Cat_HMax,MATCH($C105,Cat_Nombre,0)))</f>
        <v/>
      </c>
      <c r="I105" s="16">
        <f>IF($F105&lt;&gt;"OK","",(G105+H105)/2)</f>
        <v/>
      </c>
      <c r="J105" s="16">
        <f>IF($F105&lt;&gt;"OK","",G105/HorasDia)</f>
        <v/>
      </c>
      <c r="K105" s="16">
        <f>IF($F105&lt;&gt;"OK","",I105/HorasDia)</f>
        <v/>
      </c>
      <c r="L105" s="16">
        <f>IF($F105&lt;&gt;"OK","",H105/HorasDia)</f>
        <v/>
      </c>
      <c r="M105" s="17">
        <f>IF($F105&lt;&gt;"OK","",IF(UPPER(TRIM($D105))="NO",INDEX(Cat_TMax,MATCH($C105,Cat_Nombre,0)),INDEX(Cat_TMin,MATCH($C105,Cat_Nombre,0))))</f>
        <v/>
      </c>
      <c r="N105" s="17">
        <f>IF($F105&lt;&gt;"OK","",INDEX(Cat_TMax,MATCH($C105,Cat_Nombre,0)))</f>
        <v/>
      </c>
      <c r="O105" s="18">
        <f>IF($F105&lt;&gt;"OK","",INDEX(Cat_POpus,MATCH($C105,Cat_Nombre,0)))</f>
        <v/>
      </c>
      <c r="P105" s="19">
        <f>IF($F105&lt;&gt;"OK","",M105/1000000*((1-O105)*UsdM_Sonnet+O105*UsdM_Opus))</f>
        <v/>
      </c>
      <c r="Q105" s="19">
        <f>IF($F105&lt;&gt;"OK","",N105/1000000*((1-O105)*UsdM_Sonnet+O105*UsdM_Opus))</f>
        <v/>
      </c>
      <c r="R105" s="19">
        <f>IF($F105&lt;&gt;"OK","",G105*TarifaHora)</f>
        <v/>
      </c>
      <c r="S105" s="19">
        <f>IF($F105&lt;&gt;"OK","",H105*TarifaHora)</f>
        <v/>
      </c>
      <c r="T105" s="10">
        <f>IF($F105&lt;&gt;"OK","",IF(COUNTIFS($A$2:$A105,$A105,$F$2:$F105,"OK")=1,MAX($T$1:$T104)+1,""))</f>
        <v/>
      </c>
    </row>
    <row r="106">
      <c r="A106" s="11" t="n"/>
      <c r="B106" s="11" t="n"/>
      <c r="C106" s="11" t="n"/>
      <c r="D106" s="11" t="n"/>
      <c r="E106" s="11" t="n"/>
      <c r="F106" s="10">
        <f>IF(AND($A106="",$B106="",$C106=""),"",IF($A106="","⚠ Falta hito",IF(ISNA(MATCH($C106,Cat_Nombre,0)),"⚠ Categoría inválida","OK")))</f>
        <v/>
      </c>
      <c r="G106" s="16">
        <f>IF($F106&lt;&gt;"OK","",IF(UPPER(TRIM($D106))="NO",INDEX(Cat_HMax,MATCH($C106,Cat_Nombre,0)),INDEX(Cat_HMin,MATCH($C106,Cat_Nombre,0))))</f>
        <v/>
      </c>
      <c r="H106" s="16">
        <f>IF($F106&lt;&gt;"OK","",INDEX(Cat_HMax,MATCH($C106,Cat_Nombre,0)))</f>
        <v/>
      </c>
      <c r="I106" s="16">
        <f>IF($F106&lt;&gt;"OK","",(G106+H106)/2)</f>
        <v/>
      </c>
      <c r="J106" s="16">
        <f>IF($F106&lt;&gt;"OK","",G106/HorasDia)</f>
        <v/>
      </c>
      <c r="K106" s="16">
        <f>IF($F106&lt;&gt;"OK","",I106/HorasDia)</f>
        <v/>
      </c>
      <c r="L106" s="16">
        <f>IF($F106&lt;&gt;"OK","",H106/HorasDia)</f>
        <v/>
      </c>
      <c r="M106" s="17">
        <f>IF($F106&lt;&gt;"OK","",IF(UPPER(TRIM($D106))="NO",INDEX(Cat_TMax,MATCH($C106,Cat_Nombre,0)),INDEX(Cat_TMin,MATCH($C106,Cat_Nombre,0))))</f>
        <v/>
      </c>
      <c r="N106" s="17">
        <f>IF($F106&lt;&gt;"OK","",INDEX(Cat_TMax,MATCH($C106,Cat_Nombre,0)))</f>
        <v/>
      </c>
      <c r="O106" s="18">
        <f>IF($F106&lt;&gt;"OK","",INDEX(Cat_POpus,MATCH($C106,Cat_Nombre,0)))</f>
        <v/>
      </c>
      <c r="P106" s="19">
        <f>IF($F106&lt;&gt;"OK","",M106/1000000*((1-O106)*UsdM_Sonnet+O106*UsdM_Opus))</f>
        <v/>
      </c>
      <c r="Q106" s="19">
        <f>IF($F106&lt;&gt;"OK","",N106/1000000*((1-O106)*UsdM_Sonnet+O106*UsdM_Opus))</f>
        <v/>
      </c>
      <c r="R106" s="19">
        <f>IF($F106&lt;&gt;"OK","",G106*TarifaHora)</f>
        <v/>
      </c>
      <c r="S106" s="19">
        <f>IF($F106&lt;&gt;"OK","",H106*TarifaHora)</f>
        <v/>
      </c>
      <c r="T106" s="10">
        <f>IF($F106&lt;&gt;"OK","",IF(COUNTIFS($A$2:$A106,$A106,$F$2:$F106,"OK")=1,MAX($T$1:$T105)+1,""))</f>
        <v/>
      </c>
    </row>
    <row r="107">
      <c r="A107" s="11" t="n"/>
      <c r="B107" s="11" t="n"/>
      <c r="C107" s="11" t="n"/>
      <c r="D107" s="11" t="n"/>
      <c r="E107" s="11" t="n"/>
      <c r="F107" s="10">
        <f>IF(AND($A107="",$B107="",$C107=""),"",IF($A107="","⚠ Falta hito",IF(ISNA(MATCH($C107,Cat_Nombre,0)),"⚠ Categoría inválida","OK")))</f>
        <v/>
      </c>
      <c r="G107" s="16">
        <f>IF($F107&lt;&gt;"OK","",IF(UPPER(TRIM($D107))="NO",INDEX(Cat_HMax,MATCH($C107,Cat_Nombre,0)),INDEX(Cat_HMin,MATCH($C107,Cat_Nombre,0))))</f>
        <v/>
      </c>
      <c r="H107" s="16">
        <f>IF($F107&lt;&gt;"OK","",INDEX(Cat_HMax,MATCH($C107,Cat_Nombre,0)))</f>
        <v/>
      </c>
      <c r="I107" s="16">
        <f>IF($F107&lt;&gt;"OK","",(G107+H107)/2)</f>
        <v/>
      </c>
      <c r="J107" s="16">
        <f>IF($F107&lt;&gt;"OK","",G107/HorasDia)</f>
        <v/>
      </c>
      <c r="K107" s="16">
        <f>IF($F107&lt;&gt;"OK","",I107/HorasDia)</f>
        <v/>
      </c>
      <c r="L107" s="16">
        <f>IF($F107&lt;&gt;"OK","",H107/HorasDia)</f>
        <v/>
      </c>
      <c r="M107" s="17">
        <f>IF($F107&lt;&gt;"OK","",IF(UPPER(TRIM($D107))="NO",INDEX(Cat_TMax,MATCH($C107,Cat_Nombre,0)),INDEX(Cat_TMin,MATCH($C107,Cat_Nombre,0))))</f>
        <v/>
      </c>
      <c r="N107" s="17">
        <f>IF($F107&lt;&gt;"OK","",INDEX(Cat_TMax,MATCH($C107,Cat_Nombre,0)))</f>
        <v/>
      </c>
      <c r="O107" s="18">
        <f>IF($F107&lt;&gt;"OK","",INDEX(Cat_POpus,MATCH($C107,Cat_Nombre,0)))</f>
        <v/>
      </c>
      <c r="P107" s="19">
        <f>IF($F107&lt;&gt;"OK","",M107/1000000*((1-O107)*UsdM_Sonnet+O107*UsdM_Opus))</f>
        <v/>
      </c>
      <c r="Q107" s="19">
        <f>IF($F107&lt;&gt;"OK","",N107/1000000*((1-O107)*UsdM_Sonnet+O107*UsdM_Opus))</f>
        <v/>
      </c>
      <c r="R107" s="19">
        <f>IF($F107&lt;&gt;"OK","",G107*TarifaHora)</f>
        <v/>
      </c>
      <c r="S107" s="19">
        <f>IF($F107&lt;&gt;"OK","",H107*TarifaHora)</f>
        <v/>
      </c>
      <c r="T107" s="10">
        <f>IF($F107&lt;&gt;"OK","",IF(COUNTIFS($A$2:$A107,$A107,$F$2:$F107,"OK")=1,MAX($T$1:$T106)+1,""))</f>
        <v/>
      </c>
    </row>
    <row r="108">
      <c r="A108" s="11" t="n"/>
      <c r="B108" s="11" t="n"/>
      <c r="C108" s="11" t="n"/>
      <c r="D108" s="11" t="n"/>
      <c r="E108" s="11" t="n"/>
      <c r="F108" s="10">
        <f>IF(AND($A108="",$B108="",$C108=""),"",IF($A108="","⚠ Falta hito",IF(ISNA(MATCH($C108,Cat_Nombre,0)),"⚠ Categoría inválida","OK")))</f>
        <v/>
      </c>
      <c r="G108" s="16">
        <f>IF($F108&lt;&gt;"OK","",IF(UPPER(TRIM($D108))="NO",INDEX(Cat_HMax,MATCH($C108,Cat_Nombre,0)),INDEX(Cat_HMin,MATCH($C108,Cat_Nombre,0))))</f>
        <v/>
      </c>
      <c r="H108" s="16">
        <f>IF($F108&lt;&gt;"OK","",INDEX(Cat_HMax,MATCH($C108,Cat_Nombre,0)))</f>
        <v/>
      </c>
      <c r="I108" s="16">
        <f>IF($F108&lt;&gt;"OK","",(G108+H108)/2)</f>
        <v/>
      </c>
      <c r="J108" s="16">
        <f>IF($F108&lt;&gt;"OK","",G108/HorasDia)</f>
        <v/>
      </c>
      <c r="K108" s="16">
        <f>IF($F108&lt;&gt;"OK","",I108/HorasDia)</f>
        <v/>
      </c>
      <c r="L108" s="16">
        <f>IF($F108&lt;&gt;"OK","",H108/HorasDia)</f>
        <v/>
      </c>
      <c r="M108" s="17">
        <f>IF($F108&lt;&gt;"OK","",IF(UPPER(TRIM($D108))="NO",INDEX(Cat_TMax,MATCH($C108,Cat_Nombre,0)),INDEX(Cat_TMin,MATCH($C108,Cat_Nombre,0))))</f>
        <v/>
      </c>
      <c r="N108" s="17">
        <f>IF($F108&lt;&gt;"OK","",INDEX(Cat_TMax,MATCH($C108,Cat_Nombre,0)))</f>
        <v/>
      </c>
      <c r="O108" s="18">
        <f>IF($F108&lt;&gt;"OK","",INDEX(Cat_POpus,MATCH($C108,Cat_Nombre,0)))</f>
        <v/>
      </c>
      <c r="P108" s="19">
        <f>IF($F108&lt;&gt;"OK","",M108/1000000*((1-O108)*UsdM_Sonnet+O108*UsdM_Opus))</f>
        <v/>
      </c>
      <c r="Q108" s="19">
        <f>IF($F108&lt;&gt;"OK","",N108/1000000*((1-O108)*UsdM_Sonnet+O108*UsdM_Opus))</f>
        <v/>
      </c>
      <c r="R108" s="19">
        <f>IF($F108&lt;&gt;"OK","",G108*TarifaHora)</f>
        <v/>
      </c>
      <c r="S108" s="19">
        <f>IF($F108&lt;&gt;"OK","",H108*TarifaHora)</f>
        <v/>
      </c>
      <c r="T108" s="10">
        <f>IF($F108&lt;&gt;"OK","",IF(COUNTIFS($A$2:$A108,$A108,$F$2:$F108,"OK")=1,MAX($T$1:$T107)+1,""))</f>
        <v/>
      </c>
    </row>
    <row r="109">
      <c r="A109" s="11" t="n"/>
      <c r="B109" s="11" t="n"/>
      <c r="C109" s="11" t="n"/>
      <c r="D109" s="11" t="n"/>
      <c r="E109" s="11" t="n"/>
      <c r="F109" s="10">
        <f>IF(AND($A109="",$B109="",$C109=""),"",IF($A109="","⚠ Falta hito",IF(ISNA(MATCH($C109,Cat_Nombre,0)),"⚠ Categoría inválida","OK")))</f>
        <v/>
      </c>
      <c r="G109" s="16">
        <f>IF($F109&lt;&gt;"OK","",IF(UPPER(TRIM($D109))="NO",INDEX(Cat_HMax,MATCH($C109,Cat_Nombre,0)),INDEX(Cat_HMin,MATCH($C109,Cat_Nombre,0))))</f>
        <v/>
      </c>
      <c r="H109" s="16">
        <f>IF($F109&lt;&gt;"OK","",INDEX(Cat_HMax,MATCH($C109,Cat_Nombre,0)))</f>
        <v/>
      </c>
      <c r="I109" s="16">
        <f>IF($F109&lt;&gt;"OK","",(G109+H109)/2)</f>
        <v/>
      </c>
      <c r="J109" s="16">
        <f>IF($F109&lt;&gt;"OK","",G109/HorasDia)</f>
        <v/>
      </c>
      <c r="K109" s="16">
        <f>IF($F109&lt;&gt;"OK","",I109/HorasDia)</f>
        <v/>
      </c>
      <c r="L109" s="16">
        <f>IF($F109&lt;&gt;"OK","",H109/HorasDia)</f>
        <v/>
      </c>
      <c r="M109" s="17">
        <f>IF($F109&lt;&gt;"OK","",IF(UPPER(TRIM($D109))="NO",INDEX(Cat_TMax,MATCH($C109,Cat_Nombre,0)),INDEX(Cat_TMin,MATCH($C109,Cat_Nombre,0))))</f>
        <v/>
      </c>
      <c r="N109" s="17">
        <f>IF($F109&lt;&gt;"OK","",INDEX(Cat_TMax,MATCH($C109,Cat_Nombre,0)))</f>
        <v/>
      </c>
      <c r="O109" s="18">
        <f>IF($F109&lt;&gt;"OK","",INDEX(Cat_POpus,MATCH($C109,Cat_Nombre,0)))</f>
        <v/>
      </c>
      <c r="P109" s="19">
        <f>IF($F109&lt;&gt;"OK","",M109/1000000*((1-O109)*UsdM_Sonnet+O109*UsdM_Opus))</f>
        <v/>
      </c>
      <c r="Q109" s="19">
        <f>IF($F109&lt;&gt;"OK","",N109/1000000*((1-O109)*UsdM_Sonnet+O109*UsdM_Opus))</f>
        <v/>
      </c>
      <c r="R109" s="19">
        <f>IF($F109&lt;&gt;"OK","",G109*TarifaHora)</f>
        <v/>
      </c>
      <c r="S109" s="19">
        <f>IF($F109&lt;&gt;"OK","",H109*TarifaHora)</f>
        <v/>
      </c>
      <c r="T109" s="10">
        <f>IF($F109&lt;&gt;"OK","",IF(COUNTIFS($A$2:$A109,$A109,$F$2:$F109,"OK")=1,MAX($T$1:$T108)+1,""))</f>
        <v/>
      </c>
    </row>
    <row r="110">
      <c r="A110" s="11" t="n"/>
      <c r="B110" s="11" t="n"/>
      <c r="C110" s="11" t="n"/>
      <c r="D110" s="11" t="n"/>
      <c r="E110" s="11" t="n"/>
      <c r="F110" s="10">
        <f>IF(AND($A110="",$B110="",$C110=""),"",IF($A110="","⚠ Falta hito",IF(ISNA(MATCH($C110,Cat_Nombre,0)),"⚠ Categoría inválida","OK")))</f>
        <v/>
      </c>
      <c r="G110" s="16">
        <f>IF($F110&lt;&gt;"OK","",IF(UPPER(TRIM($D110))="NO",INDEX(Cat_HMax,MATCH($C110,Cat_Nombre,0)),INDEX(Cat_HMin,MATCH($C110,Cat_Nombre,0))))</f>
        <v/>
      </c>
      <c r="H110" s="16">
        <f>IF($F110&lt;&gt;"OK","",INDEX(Cat_HMax,MATCH($C110,Cat_Nombre,0)))</f>
        <v/>
      </c>
      <c r="I110" s="16">
        <f>IF($F110&lt;&gt;"OK","",(G110+H110)/2)</f>
        <v/>
      </c>
      <c r="J110" s="16">
        <f>IF($F110&lt;&gt;"OK","",G110/HorasDia)</f>
        <v/>
      </c>
      <c r="K110" s="16">
        <f>IF($F110&lt;&gt;"OK","",I110/HorasDia)</f>
        <v/>
      </c>
      <c r="L110" s="16">
        <f>IF($F110&lt;&gt;"OK","",H110/HorasDia)</f>
        <v/>
      </c>
      <c r="M110" s="17">
        <f>IF($F110&lt;&gt;"OK","",IF(UPPER(TRIM($D110))="NO",INDEX(Cat_TMax,MATCH($C110,Cat_Nombre,0)),INDEX(Cat_TMin,MATCH($C110,Cat_Nombre,0))))</f>
        <v/>
      </c>
      <c r="N110" s="17">
        <f>IF($F110&lt;&gt;"OK","",INDEX(Cat_TMax,MATCH($C110,Cat_Nombre,0)))</f>
        <v/>
      </c>
      <c r="O110" s="18">
        <f>IF($F110&lt;&gt;"OK","",INDEX(Cat_POpus,MATCH($C110,Cat_Nombre,0)))</f>
        <v/>
      </c>
      <c r="P110" s="19">
        <f>IF($F110&lt;&gt;"OK","",M110/1000000*((1-O110)*UsdM_Sonnet+O110*UsdM_Opus))</f>
        <v/>
      </c>
      <c r="Q110" s="19">
        <f>IF($F110&lt;&gt;"OK","",N110/1000000*((1-O110)*UsdM_Sonnet+O110*UsdM_Opus))</f>
        <v/>
      </c>
      <c r="R110" s="19">
        <f>IF($F110&lt;&gt;"OK","",G110*TarifaHora)</f>
        <v/>
      </c>
      <c r="S110" s="19">
        <f>IF($F110&lt;&gt;"OK","",H110*TarifaHora)</f>
        <v/>
      </c>
      <c r="T110" s="10">
        <f>IF($F110&lt;&gt;"OK","",IF(COUNTIFS($A$2:$A110,$A110,$F$2:$F110,"OK")=1,MAX($T$1:$T109)+1,""))</f>
        <v/>
      </c>
    </row>
    <row r="111">
      <c r="A111" s="11" t="n"/>
      <c r="B111" s="11" t="n"/>
      <c r="C111" s="11" t="n"/>
      <c r="D111" s="11" t="n"/>
      <c r="E111" s="11" t="n"/>
      <c r="F111" s="10">
        <f>IF(AND($A111="",$B111="",$C111=""),"",IF($A111="","⚠ Falta hito",IF(ISNA(MATCH($C111,Cat_Nombre,0)),"⚠ Categoría inválida","OK")))</f>
        <v/>
      </c>
      <c r="G111" s="16">
        <f>IF($F111&lt;&gt;"OK","",IF(UPPER(TRIM($D111))="NO",INDEX(Cat_HMax,MATCH($C111,Cat_Nombre,0)),INDEX(Cat_HMin,MATCH($C111,Cat_Nombre,0))))</f>
        <v/>
      </c>
      <c r="H111" s="16">
        <f>IF($F111&lt;&gt;"OK","",INDEX(Cat_HMax,MATCH($C111,Cat_Nombre,0)))</f>
        <v/>
      </c>
      <c r="I111" s="16">
        <f>IF($F111&lt;&gt;"OK","",(G111+H111)/2)</f>
        <v/>
      </c>
      <c r="J111" s="16">
        <f>IF($F111&lt;&gt;"OK","",G111/HorasDia)</f>
        <v/>
      </c>
      <c r="K111" s="16">
        <f>IF($F111&lt;&gt;"OK","",I111/HorasDia)</f>
        <v/>
      </c>
      <c r="L111" s="16">
        <f>IF($F111&lt;&gt;"OK","",H111/HorasDia)</f>
        <v/>
      </c>
      <c r="M111" s="17">
        <f>IF($F111&lt;&gt;"OK","",IF(UPPER(TRIM($D111))="NO",INDEX(Cat_TMax,MATCH($C111,Cat_Nombre,0)),INDEX(Cat_TMin,MATCH($C111,Cat_Nombre,0))))</f>
        <v/>
      </c>
      <c r="N111" s="17">
        <f>IF($F111&lt;&gt;"OK","",INDEX(Cat_TMax,MATCH($C111,Cat_Nombre,0)))</f>
        <v/>
      </c>
      <c r="O111" s="18">
        <f>IF($F111&lt;&gt;"OK","",INDEX(Cat_POpus,MATCH($C111,Cat_Nombre,0)))</f>
        <v/>
      </c>
      <c r="P111" s="19">
        <f>IF($F111&lt;&gt;"OK","",M111/1000000*((1-O111)*UsdM_Sonnet+O111*UsdM_Opus))</f>
        <v/>
      </c>
      <c r="Q111" s="19">
        <f>IF($F111&lt;&gt;"OK","",N111/1000000*((1-O111)*UsdM_Sonnet+O111*UsdM_Opus))</f>
        <v/>
      </c>
      <c r="R111" s="19">
        <f>IF($F111&lt;&gt;"OK","",G111*TarifaHora)</f>
        <v/>
      </c>
      <c r="S111" s="19">
        <f>IF($F111&lt;&gt;"OK","",H111*TarifaHora)</f>
        <v/>
      </c>
      <c r="T111" s="10">
        <f>IF($F111&lt;&gt;"OK","",IF(COUNTIFS($A$2:$A111,$A111,$F$2:$F111,"OK")=1,MAX($T$1:$T110)+1,""))</f>
        <v/>
      </c>
    </row>
    <row r="112">
      <c r="A112" s="11" t="n"/>
      <c r="B112" s="11" t="n"/>
      <c r="C112" s="11" t="n"/>
      <c r="D112" s="11" t="n"/>
      <c r="E112" s="11" t="n"/>
      <c r="F112" s="10">
        <f>IF(AND($A112="",$B112="",$C112=""),"",IF($A112="","⚠ Falta hito",IF(ISNA(MATCH($C112,Cat_Nombre,0)),"⚠ Categoría inválida","OK")))</f>
        <v/>
      </c>
      <c r="G112" s="16">
        <f>IF($F112&lt;&gt;"OK","",IF(UPPER(TRIM($D112))="NO",INDEX(Cat_HMax,MATCH($C112,Cat_Nombre,0)),INDEX(Cat_HMin,MATCH($C112,Cat_Nombre,0))))</f>
        <v/>
      </c>
      <c r="H112" s="16">
        <f>IF($F112&lt;&gt;"OK","",INDEX(Cat_HMax,MATCH($C112,Cat_Nombre,0)))</f>
        <v/>
      </c>
      <c r="I112" s="16">
        <f>IF($F112&lt;&gt;"OK","",(G112+H112)/2)</f>
        <v/>
      </c>
      <c r="J112" s="16">
        <f>IF($F112&lt;&gt;"OK","",G112/HorasDia)</f>
        <v/>
      </c>
      <c r="K112" s="16">
        <f>IF($F112&lt;&gt;"OK","",I112/HorasDia)</f>
        <v/>
      </c>
      <c r="L112" s="16">
        <f>IF($F112&lt;&gt;"OK","",H112/HorasDia)</f>
        <v/>
      </c>
      <c r="M112" s="17">
        <f>IF($F112&lt;&gt;"OK","",IF(UPPER(TRIM($D112))="NO",INDEX(Cat_TMax,MATCH($C112,Cat_Nombre,0)),INDEX(Cat_TMin,MATCH($C112,Cat_Nombre,0))))</f>
        <v/>
      </c>
      <c r="N112" s="17">
        <f>IF($F112&lt;&gt;"OK","",INDEX(Cat_TMax,MATCH($C112,Cat_Nombre,0)))</f>
        <v/>
      </c>
      <c r="O112" s="18">
        <f>IF($F112&lt;&gt;"OK","",INDEX(Cat_POpus,MATCH($C112,Cat_Nombre,0)))</f>
        <v/>
      </c>
      <c r="P112" s="19">
        <f>IF($F112&lt;&gt;"OK","",M112/1000000*((1-O112)*UsdM_Sonnet+O112*UsdM_Opus))</f>
        <v/>
      </c>
      <c r="Q112" s="19">
        <f>IF($F112&lt;&gt;"OK","",N112/1000000*((1-O112)*UsdM_Sonnet+O112*UsdM_Opus))</f>
        <v/>
      </c>
      <c r="R112" s="19">
        <f>IF($F112&lt;&gt;"OK","",G112*TarifaHora)</f>
        <v/>
      </c>
      <c r="S112" s="19">
        <f>IF($F112&lt;&gt;"OK","",H112*TarifaHora)</f>
        <v/>
      </c>
      <c r="T112" s="10">
        <f>IF($F112&lt;&gt;"OK","",IF(COUNTIFS($A$2:$A112,$A112,$F$2:$F112,"OK")=1,MAX($T$1:$T111)+1,""))</f>
        <v/>
      </c>
    </row>
    <row r="113">
      <c r="A113" s="11" t="n"/>
      <c r="B113" s="11" t="n"/>
      <c r="C113" s="11" t="n"/>
      <c r="D113" s="11" t="n"/>
      <c r="E113" s="11" t="n"/>
      <c r="F113" s="10">
        <f>IF(AND($A113="",$B113="",$C113=""),"",IF($A113="","⚠ Falta hito",IF(ISNA(MATCH($C113,Cat_Nombre,0)),"⚠ Categoría inválida","OK")))</f>
        <v/>
      </c>
      <c r="G113" s="16">
        <f>IF($F113&lt;&gt;"OK","",IF(UPPER(TRIM($D113))="NO",INDEX(Cat_HMax,MATCH($C113,Cat_Nombre,0)),INDEX(Cat_HMin,MATCH($C113,Cat_Nombre,0))))</f>
        <v/>
      </c>
      <c r="H113" s="16">
        <f>IF($F113&lt;&gt;"OK","",INDEX(Cat_HMax,MATCH($C113,Cat_Nombre,0)))</f>
        <v/>
      </c>
      <c r="I113" s="16">
        <f>IF($F113&lt;&gt;"OK","",(G113+H113)/2)</f>
        <v/>
      </c>
      <c r="J113" s="16">
        <f>IF($F113&lt;&gt;"OK","",G113/HorasDia)</f>
        <v/>
      </c>
      <c r="K113" s="16">
        <f>IF($F113&lt;&gt;"OK","",I113/HorasDia)</f>
        <v/>
      </c>
      <c r="L113" s="16">
        <f>IF($F113&lt;&gt;"OK","",H113/HorasDia)</f>
        <v/>
      </c>
      <c r="M113" s="17">
        <f>IF($F113&lt;&gt;"OK","",IF(UPPER(TRIM($D113))="NO",INDEX(Cat_TMax,MATCH($C113,Cat_Nombre,0)),INDEX(Cat_TMin,MATCH($C113,Cat_Nombre,0))))</f>
        <v/>
      </c>
      <c r="N113" s="17">
        <f>IF($F113&lt;&gt;"OK","",INDEX(Cat_TMax,MATCH($C113,Cat_Nombre,0)))</f>
        <v/>
      </c>
      <c r="O113" s="18">
        <f>IF($F113&lt;&gt;"OK","",INDEX(Cat_POpus,MATCH($C113,Cat_Nombre,0)))</f>
        <v/>
      </c>
      <c r="P113" s="19">
        <f>IF($F113&lt;&gt;"OK","",M113/1000000*((1-O113)*UsdM_Sonnet+O113*UsdM_Opus))</f>
        <v/>
      </c>
      <c r="Q113" s="19">
        <f>IF($F113&lt;&gt;"OK","",N113/1000000*((1-O113)*UsdM_Sonnet+O113*UsdM_Opus))</f>
        <v/>
      </c>
      <c r="R113" s="19">
        <f>IF($F113&lt;&gt;"OK","",G113*TarifaHora)</f>
        <v/>
      </c>
      <c r="S113" s="19">
        <f>IF($F113&lt;&gt;"OK","",H113*TarifaHora)</f>
        <v/>
      </c>
      <c r="T113" s="10">
        <f>IF($F113&lt;&gt;"OK","",IF(COUNTIFS($A$2:$A113,$A113,$F$2:$F113,"OK")=1,MAX($T$1:$T112)+1,""))</f>
        <v/>
      </c>
    </row>
    <row r="114">
      <c r="A114" s="11" t="n"/>
      <c r="B114" s="11" t="n"/>
      <c r="C114" s="11" t="n"/>
      <c r="D114" s="11" t="n"/>
      <c r="E114" s="11" t="n"/>
      <c r="F114" s="10">
        <f>IF(AND($A114="",$B114="",$C114=""),"",IF($A114="","⚠ Falta hito",IF(ISNA(MATCH($C114,Cat_Nombre,0)),"⚠ Categoría inválida","OK")))</f>
        <v/>
      </c>
      <c r="G114" s="16">
        <f>IF($F114&lt;&gt;"OK","",IF(UPPER(TRIM($D114))="NO",INDEX(Cat_HMax,MATCH($C114,Cat_Nombre,0)),INDEX(Cat_HMin,MATCH($C114,Cat_Nombre,0))))</f>
        <v/>
      </c>
      <c r="H114" s="16">
        <f>IF($F114&lt;&gt;"OK","",INDEX(Cat_HMax,MATCH($C114,Cat_Nombre,0)))</f>
        <v/>
      </c>
      <c r="I114" s="16">
        <f>IF($F114&lt;&gt;"OK","",(G114+H114)/2)</f>
        <v/>
      </c>
      <c r="J114" s="16">
        <f>IF($F114&lt;&gt;"OK","",G114/HorasDia)</f>
        <v/>
      </c>
      <c r="K114" s="16">
        <f>IF($F114&lt;&gt;"OK","",I114/HorasDia)</f>
        <v/>
      </c>
      <c r="L114" s="16">
        <f>IF($F114&lt;&gt;"OK","",H114/HorasDia)</f>
        <v/>
      </c>
      <c r="M114" s="17">
        <f>IF($F114&lt;&gt;"OK","",IF(UPPER(TRIM($D114))="NO",INDEX(Cat_TMax,MATCH($C114,Cat_Nombre,0)),INDEX(Cat_TMin,MATCH($C114,Cat_Nombre,0))))</f>
        <v/>
      </c>
      <c r="N114" s="17">
        <f>IF($F114&lt;&gt;"OK","",INDEX(Cat_TMax,MATCH($C114,Cat_Nombre,0)))</f>
        <v/>
      </c>
      <c r="O114" s="18">
        <f>IF($F114&lt;&gt;"OK","",INDEX(Cat_POpus,MATCH($C114,Cat_Nombre,0)))</f>
        <v/>
      </c>
      <c r="P114" s="19">
        <f>IF($F114&lt;&gt;"OK","",M114/1000000*((1-O114)*UsdM_Sonnet+O114*UsdM_Opus))</f>
        <v/>
      </c>
      <c r="Q114" s="19">
        <f>IF($F114&lt;&gt;"OK","",N114/1000000*((1-O114)*UsdM_Sonnet+O114*UsdM_Opus))</f>
        <v/>
      </c>
      <c r="R114" s="19">
        <f>IF($F114&lt;&gt;"OK","",G114*TarifaHora)</f>
        <v/>
      </c>
      <c r="S114" s="19">
        <f>IF($F114&lt;&gt;"OK","",H114*TarifaHora)</f>
        <v/>
      </c>
      <c r="T114" s="10">
        <f>IF($F114&lt;&gt;"OK","",IF(COUNTIFS($A$2:$A114,$A114,$F$2:$F114,"OK")=1,MAX($T$1:$T113)+1,""))</f>
        <v/>
      </c>
    </row>
    <row r="115">
      <c r="A115" s="11" t="n"/>
      <c r="B115" s="11" t="n"/>
      <c r="C115" s="11" t="n"/>
      <c r="D115" s="11" t="n"/>
      <c r="E115" s="11" t="n"/>
      <c r="F115" s="10">
        <f>IF(AND($A115="",$B115="",$C115=""),"",IF($A115="","⚠ Falta hito",IF(ISNA(MATCH($C115,Cat_Nombre,0)),"⚠ Categoría inválida","OK")))</f>
        <v/>
      </c>
      <c r="G115" s="16">
        <f>IF($F115&lt;&gt;"OK","",IF(UPPER(TRIM($D115))="NO",INDEX(Cat_HMax,MATCH($C115,Cat_Nombre,0)),INDEX(Cat_HMin,MATCH($C115,Cat_Nombre,0))))</f>
        <v/>
      </c>
      <c r="H115" s="16">
        <f>IF($F115&lt;&gt;"OK","",INDEX(Cat_HMax,MATCH($C115,Cat_Nombre,0)))</f>
        <v/>
      </c>
      <c r="I115" s="16">
        <f>IF($F115&lt;&gt;"OK","",(G115+H115)/2)</f>
        <v/>
      </c>
      <c r="J115" s="16">
        <f>IF($F115&lt;&gt;"OK","",G115/HorasDia)</f>
        <v/>
      </c>
      <c r="K115" s="16">
        <f>IF($F115&lt;&gt;"OK","",I115/HorasDia)</f>
        <v/>
      </c>
      <c r="L115" s="16">
        <f>IF($F115&lt;&gt;"OK","",H115/HorasDia)</f>
        <v/>
      </c>
      <c r="M115" s="17">
        <f>IF($F115&lt;&gt;"OK","",IF(UPPER(TRIM($D115))="NO",INDEX(Cat_TMax,MATCH($C115,Cat_Nombre,0)),INDEX(Cat_TMin,MATCH($C115,Cat_Nombre,0))))</f>
        <v/>
      </c>
      <c r="N115" s="17">
        <f>IF($F115&lt;&gt;"OK","",INDEX(Cat_TMax,MATCH($C115,Cat_Nombre,0)))</f>
        <v/>
      </c>
      <c r="O115" s="18">
        <f>IF($F115&lt;&gt;"OK","",INDEX(Cat_POpus,MATCH($C115,Cat_Nombre,0)))</f>
        <v/>
      </c>
      <c r="P115" s="19">
        <f>IF($F115&lt;&gt;"OK","",M115/1000000*((1-O115)*UsdM_Sonnet+O115*UsdM_Opus))</f>
        <v/>
      </c>
      <c r="Q115" s="19">
        <f>IF($F115&lt;&gt;"OK","",N115/1000000*((1-O115)*UsdM_Sonnet+O115*UsdM_Opus))</f>
        <v/>
      </c>
      <c r="R115" s="19">
        <f>IF($F115&lt;&gt;"OK","",G115*TarifaHora)</f>
        <v/>
      </c>
      <c r="S115" s="19">
        <f>IF($F115&lt;&gt;"OK","",H115*TarifaHora)</f>
        <v/>
      </c>
      <c r="T115" s="10">
        <f>IF($F115&lt;&gt;"OK","",IF(COUNTIFS($A$2:$A115,$A115,$F$2:$F115,"OK")=1,MAX($T$1:$T114)+1,""))</f>
        <v/>
      </c>
    </row>
    <row r="116">
      <c r="A116" s="11" t="n"/>
      <c r="B116" s="11" t="n"/>
      <c r="C116" s="11" t="n"/>
      <c r="D116" s="11" t="n"/>
      <c r="E116" s="11" t="n"/>
      <c r="F116" s="10">
        <f>IF(AND($A116="",$B116="",$C116=""),"",IF($A116="","⚠ Falta hito",IF(ISNA(MATCH($C116,Cat_Nombre,0)),"⚠ Categoría inválida","OK")))</f>
        <v/>
      </c>
      <c r="G116" s="16">
        <f>IF($F116&lt;&gt;"OK","",IF(UPPER(TRIM($D116))="NO",INDEX(Cat_HMax,MATCH($C116,Cat_Nombre,0)),INDEX(Cat_HMin,MATCH($C116,Cat_Nombre,0))))</f>
        <v/>
      </c>
      <c r="H116" s="16">
        <f>IF($F116&lt;&gt;"OK","",INDEX(Cat_HMax,MATCH($C116,Cat_Nombre,0)))</f>
        <v/>
      </c>
      <c r="I116" s="16">
        <f>IF($F116&lt;&gt;"OK","",(G116+H116)/2)</f>
        <v/>
      </c>
      <c r="J116" s="16">
        <f>IF($F116&lt;&gt;"OK","",G116/HorasDia)</f>
        <v/>
      </c>
      <c r="K116" s="16">
        <f>IF($F116&lt;&gt;"OK","",I116/HorasDia)</f>
        <v/>
      </c>
      <c r="L116" s="16">
        <f>IF($F116&lt;&gt;"OK","",H116/HorasDia)</f>
        <v/>
      </c>
      <c r="M116" s="17">
        <f>IF($F116&lt;&gt;"OK","",IF(UPPER(TRIM($D116))="NO",INDEX(Cat_TMax,MATCH($C116,Cat_Nombre,0)),INDEX(Cat_TMin,MATCH($C116,Cat_Nombre,0))))</f>
        <v/>
      </c>
      <c r="N116" s="17">
        <f>IF($F116&lt;&gt;"OK","",INDEX(Cat_TMax,MATCH($C116,Cat_Nombre,0)))</f>
        <v/>
      </c>
      <c r="O116" s="18">
        <f>IF($F116&lt;&gt;"OK","",INDEX(Cat_POpus,MATCH($C116,Cat_Nombre,0)))</f>
        <v/>
      </c>
      <c r="P116" s="19">
        <f>IF($F116&lt;&gt;"OK","",M116/1000000*((1-O116)*UsdM_Sonnet+O116*UsdM_Opus))</f>
        <v/>
      </c>
      <c r="Q116" s="19">
        <f>IF($F116&lt;&gt;"OK","",N116/1000000*((1-O116)*UsdM_Sonnet+O116*UsdM_Opus))</f>
        <v/>
      </c>
      <c r="R116" s="19">
        <f>IF($F116&lt;&gt;"OK","",G116*TarifaHora)</f>
        <v/>
      </c>
      <c r="S116" s="19">
        <f>IF($F116&lt;&gt;"OK","",H116*TarifaHora)</f>
        <v/>
      </c>
      <c r="T116" s="10">
        <f>IF($F116&lt;&gt;"OK","",IF(COUNTIFS($A$2:$A116,$A116,$F$2:$F116,"OK")=1,MAX($T$1:$T115)+1,""))</f>
        <v/>
      </c>
    </row>
    <row r="117">
      <c r="A117" s="11" t="n"/>
      <c r="B117" s="11" t="n"/>
      <c r="C117" s="11" t="n"/>
      <c r="D117" s="11" t="n"/>
      <c r="E117" s="11" t="n"/>
      <c r="F117" s="10">
        <f>IF(AND($A117="",$B117="",$C117=""),"",IF($A117="","⚠ Falta hito",IF(ISNA(MATCH($C117,Cat_Nombre,0)),"⚠ Categoría inválida","OK")))</f>
        <v/>
      </c>
      <c r="G117" s="16">
        <f>IF($F117&lt;&gt;"OK","",IF(UPPER(TRIM($D117))="NO",INDEX(Cat_HMax,MATCH($C117,Cat_Nombre,0)),INDEX(Cat_HMin,MATCH($C117,Cat_Nombre,0))))</f>
        <v/>
      </c>
      <c r="H117" s="16">
        <f>IF($F117&lt;&gt;"OK","",INDEX(Cat_HMax,MATCH($C117,Cat_Nombre,0)))</f>
        <v/>
      </c>
      <c r="I117" s="16">
        <f>IF($F117&lt;&gt;"OK","",(G117+H117)/2)</f>
        <v/>
      </c>
      <c r="J117" s="16">
        <f>IF($F117&lt;&gt;"OK","",G117/HorasDia)</f>
        <v/>
      </c>
      <c r="K117" s="16">
        <f>IF($F117&lt;&gt;"OK","",I117/HorasDia)</f>
        <v/>
      </c>
      <c r="L117" s="16">
        <f>IF($F117&lt;&gt;"OK","",H117/HorasDia)</f>
        <v/>
      </c>
      <c r="M117" s="17">
        <f>IF($F117&lt;&gt;"OK","",IF(UPPER(TRIM($D117))="NO",INDEX(Cat_TMax,MATCH($C117,Cat_Nombre,0)),INDEX(Cat_TMin,MATCH($C117,Cat_Nombre,0))))</f>
        <v/>
      </c>
      <c r="N117" s="17">
        <f>IF($F117&lt;&gt;"OK","",INDEX(Cat_TMax,MATCH($C117,Cat_Nombre,0)))</f>
        <v/>
      </c>
      <c r="O117" s="18">
        <f>IF($F117&lt;&gt;"OK","",INDEX(Cat_POpus,MATCH($C117,Cat_Nombre,0)))</f>
        <v/>
      </c>
      <c r="P117" s="19">
        <f>IF($F117&lt;&gt;"OK","",M117/1000000*((1-O117)*UsdM_Sonnet+O117*UsdM_Opus))</f>
        <v/>
      </c>
      <c r="Q117" s="19">
        <f>IF($F117&lt;&gt;"OK","",N117/1000000*((1-O117)*UsdM_Sonnet+O117*UsdM_Opus))</f>
        <v/>
      </c>
      <c r="R117" s="19">
        <f>IF($F117&lt;&gt;"OK","",G117*TarifaHora)</f>
        <v/>
      </c>
      <c r="S117" s="19">
        <f>IF($F117&lt;&gt;"OK","",H117*TarifaHora)</f>
        <v/>
      </c>
      <c r="T117" s="10">
        <f>IF($F117&lt;&gt;"OK","",IF(COUNTIFS($A$2:$A117,$A117,$F$2:$F117,"OK")=1,MAX($T$1:$T116)+1,""))</f>
        <v/>
      </c>
    </row>
    <row r="118">
      <c r="A118" s="11" t="n"/>
      <c r="B118" s="11" t="n"/>
      <c r="C118" s="11" t="n"/>
      <c r="D118" s="11" t="n"/>
      <c r="E118" s="11" t="n"/>
      <c r="F118" s="10">
        <f>IF(AND($A118="",$B118="",$C118=""),"",IF($A118="","⚠ Falta hito",IF(ISNA(MATCH($C118,Cat_Nombre,0)),"⚠ Categoría inválida","OK")))</f>
        <v/>
      </c>
      <c r="G118" s="16">
        <f>IF($F118&lt;&gt;"OK","",IF(UPPER(TRIM($D118))="NO",INDEX(Cat_HMax,MATCH($C118,Cat_Nombre,0)),INDEX(Cat_HMin,MATCH($C118,Cat_Nombre,0))))</f>
        <v/>
      </c>
      <c r="H118" s="16">
        <f>IF($F118&lt;&gt;"OK","",INDEX(Cat_HMax,MATCH($C118,Cat_Nombre,0)))</f>
        <v/>
      </c>
      <c r="I118" s="16">
        <f>IF($F118&lt;&gt;"OK","",(G118+H118)/2)</f>
        <v/>
      </c>
      <c r="J118" s="16">
        <f>IF($F118&lt;&gt;"OK","",G118/HorasDia)</f>
        <v/>
      </c>
      <c r="K118" s="16">
        <f>IF($F118&lt;&gt;"OK","",I118/HorasDia)</f>
        <v/>
      </c>
      <c r="L118" s="16">
        <f>IF($F118&lt;&gt;"OK","",H118/HorasDia)</f>
        <v/>
      </c>
      <c r="M118" s="17">
        <f>IF($F118&lt;&gt;"OK","",IF(UPPER(TRIM($D118))="NO",INDEX(Cat_TMax,MATCH($C118,Cat_Nombre,0)),INDEX(Cat_TMin,MATCH($C118,Cat_Nombre,0))))</f>
        <v/>
      </c>
      <c r="N118" s="17">
        <f>IF($F118&lt;&gt;"OK","",INDEX(Cat_TMax,MATCH($C118,Cat_Nombre,0)))</f>
        <v/>
      </c>
      <c r="O118" s="18">
        <f>IF($F118&lt;&gt;"OK","",INDEX(Cat_POpus,MATCH($C118,Cat_Nombre,0)))</f>
        <v/>
      </c>
      <c r="P118" s="19">
        <f>IF($F118&lt;&gt;"OK","",M118/1000000*((1-O118)*UsdM_Sonnet+O118*UsdM_Opus))</f>
        <v/>
      </c>
      <c r="Q118" s="19">
        <f>IF($F118&lt;&gt;"OK","",N118/1000000*((1-O118)*UsdM_Sonnet+O118*UsdM_Opus))</f>
        <v/>
      </c>
      <c r="R118" s="19">
        <f>IF($F118&lt;&gt;"OK","",G118*TarifaHora)</f>
        <v/>
      </c>
      <c r="S118" s="19">
        <f>IF($F118&lt;&gt;"OK","",H118*TarifaHora)</f>
        <v/>
      </c>
      <c r="T118" s="10">
        <f>IF($F118&lt;&gt;"OK","",IF(COUNTIFS($A$2:$A118,$A118,$F$2:$F118,"OK")=1,MAX($T$1:$T117)+1,""))</f>
        <v/>
      </c>
    </row>
    <row r="119">
      <c r="A119" s="11" t="n"/>
      <c r="B119" s="11" t="n"/>
      <c r="C119" s="11" t="n"/>
      <c r="D119" s="11" t="n"/>
      <c r="E119" s="11" t="n"/>
      <c r="F119" s="10">
        <f>IF(AND($A119="",$B119="",$C119=""),"",IF($A119="","⚠ Falta hito",IF(ISNA(MATCH($C119,Cat_Nombre,0)),"⚠ Categoría inválida","OK")))</f>
        <v/>
      </c>
      <c r="G119" s="16">
        <f>IF($F119&lt;&gt;"OK","",IF(UPPER(TRIM($D119))="NO",INDEX(Cat_HMax,MATCH($C119,Cat_Nombre,0)),INDEX(Cat_HMin,MATCH($C119,Cat_Nombre,0))))</f>
        <v/>
      </c>
      <c r="H119" s="16">
        <f>IF($F119&lt;&gt;"OK","",INDEX(Cat_HMax,MATCH($C119,Cat_Nombre,0)))</f>
        <v/>
      </c>
      <c r="I119" s="16">
        <f>IF($F119&lt;&gt;"OK","",(G119+H119)/2)</f>
        <v/>
      </c>
      <c r="J119" s="16">
        <f>IF($F119&lt;&gt;"OK","",G119/HorasDia)</f>
        <v/>
      </c>
      <c r="K119" s="16">
        <f>IF($F119&lt;&gt;"OK","",I119/HorasDia)</f>
        <v/>
      </c>
      <c r="L119" s="16">
        <f>IF($F119&lt;&gt;"OK","",H119/HorasDia)</f>
        <v/>
      </c>
      <c r="M119" s="17">
        <f>IF($F119&lt;&gt;"OK","",IF(UPPER(TRIM($D119))="NO",INDEX(Cat_TMax,MATCH($C119,Cat_Nombre,0)),INDEX(Cat_TMin,MATCH($C119,Cat_Nombre,0))))</f>
        <v/>
      </c>
      <c r="N119" s="17">
        <f>IF($F119&lt;&gt;"OK","",INDEX(Cat_TMax,MATCH($C119,Cat_Nombre,0)))</f>
        <v/>
      </c>
      <c r="O119" s="18">
        <f>IF($F119&lt;&gt;"OK","",INDEX(Cat_POpus,MATCH($C119,Cat_Nombre,0)))</f>
        <v/>
      </c>
      <c r="P119" s="19">
        <f>IF($F119&lt;&gt;"OK","",M119/1000000*((1-O119)*UsdM_Sonnet+O119*UsdM_Opus))</f>
        <v/>
      </c>
      <c r="Q119" s="19">
        <f>IF($F119&lt;&gt;"OK","",N119/1000000*((1-O119)*UsdM_Sonnet+O119*UsdM_Opus))</f>
        <v/>
      </c>
      <c r="R119" s="19">
        <f>IF($F119&lt;&gt;"OK","",G119*TarifaHora)</f>
        <v/>
      </c>
      <c r="S119" s="19">
        <f>IF($F119&lt;&gt;"OK","",H119*TarifaHora)</f>
        <v/>
      </c>
      <c r="T119" s="10">
        <f>IF($F119&lt;&gt;"OK","",IF(COUNTIFS($A$2:$A119,$A119,$F$2:$F119,"OK")=1,MAX($T$1:$T118)+1,""))</f>
        <v/>
      </c>
    </row>
    <row r="120">
      <c r="A120" s="11" t="n"/>
      <c r="B120" s="11" t="n"/>
      <c r="C120" s="11" t="n"/>
      <c r="D120" s="11" t="n"/>
      <c r="E120" s="11" t="n"/>
      <c r="F120" s="10">
        <f>IF(AND($A120="",$B120="",$C120=""),"",IF($A120="","⚠ Falta hito",IF(ISNA(MATCH($C120,Cat_Nombre,0)),"⚠ Categoría inválida","OK")))</f>
        <v/>
      </c>
      <c r="G120" s="16">
        <f>IF($F120&lt;&gt;"OK","",IF(UPPER(TRIM($D120))="NO",INDEX(Cat_HMax,MATCH($C120,Cat_Nombre,0)),INDEX(Cat_HMin,MATCH($C120,Cat_Nombre,0))))</f>
        <v/>
      </c>
      <c r="H120" s="16">
        <f>IF($F120&lt;&gt;"OK","",INDEX(Cat_HMax,MATCH($C120,Cat_Nombre,0)))</f>
        <v/>
      </c>
      <c r="I120" s="16">
        <f>IF($F120&lt;&gt;"OK","",(G120+H120)/2)</f>
        <v/>
      </c>
      <c r="J120" s="16">
        <f>IF($F120&lt;&gt;"OK","",G120/HorasDia)</f>
        <v/>
      </c>
      <c r="K120" s="16">
        <f>IF($F120&lt;&gt;"OK","",I120/HorasDia)</f>
        <v/>
      </c>
      <c r="L120" s="16">
        <f>IF($F120&lt;&gt;"OK","",H120/HorasDia)</f>
        <v/>
      </c>
      <c r="M120" s="17">
        <f>IF($F120&lt;&gt;"OK","",IF(UPPER(TRIM($D120))="NO",INDEX(Cat_TMax,MATCH($C120,Cat_Nombre,0)),INDEX(Cat_TMin,MATCH($C120,Cat_Nombre,0))))</f>
        <v/>
      </c>
      <c r="N120" s="17">
        <f>IF($F120&lt;&gt;"OK","",INDEX(Cat_TMax,MATCH($C120,Cat_Nombre,0)))</f>
        <v/>
      </c>
      <c r="O120" s="18">
        <f>IF($F120&lt;&gt;"OK","",INDEX(Cat_POpus,MATCH($C120,Cat_Nombre,0)))</f>
        <v/>
      </c>
      <c r="P120" s="19">
        <f>IF($F120&lt;&gt;"OK","",M120/1000000*((1-O120)*UsdM_Sonnet+O120*UsdM_Opus))</f>
        <v/>
      </c>
      <c r="Q120" s="19">
        <f>IF($F120&lt;&gt;"OK","",N120/1000000*((1-O120)*UsdM_Sonnet+O120*UsdM_Opus))</f>
        <v/>
      </c>
      <c r="R120" s="19">
        <f>IF($F120&lt;&gt;"OK","",G120*TarifaHora)</f>
        <v/>
      </c>
      <c r="S120" s="19">
        <f>IF($F120&lt;&gt;"OK","",H120*TarifaHora)</f>
        <v/>
      </c>
      <c r="T120" s="10">
        <f>IF($F120&lt;&gt;"OK","",IF(COUNTIFS($A$2:$A120,$A120,$F$2:$F120,"OK")=1,MAX($T$1:$T119)+1,""))</f>
        <v/>
      </c>
    </row>
    <row r="121">
      <c r="A121" s="11" t="n"/>
      <c r="B121" s="11" t="n"/>
      <c r="C121" s="11" t="n"/>
      <c r="D121" s="11" t="n"/>
      <c r="E121" s="11" t="n"/>
      <c r="F121" s="10">
        <f>IF(AND($A121="",$B121="",$C121=""),"",IF($A121="","⚠ Falta hito",IF(ISNA(MATCH($C121,Cat_Nombre,0)),"⚠ Categoría inválida","OK")))</f>
        <v/>
      </c>
      <c r="G121" s="16">
        <f>IF($F121&lt;&gt;"OK","",IF(UPPER(TRIM($D121))="NO",INDEX(Cat_HMax,MATCH($C121,Cat_Nombre,0)),INDEX(Cat_HMin,MATCH($C121,Cat_Nombre,0))))</f>
        <v/>
      </c>
      <c r="H121" s="16">
        <f>IF($F121&lt;&gt;"OK","",INDEX(Cat_HMax,MATCH($C121,Cat_Nombre,0)))</f>
        <v/>
      </c>
      <c r="I121" s="16">
        <f>IF($F121&lt;&gt;"OK","",(G121+H121)/2)</f>
        <v/>
      </c>
      <c r="J121" s="16">
        <f>IF($F121&lt;&gt;"OK","",G121/HorasDia)</f>
        <v/>
      </c>
      <c r="K121" s="16">
        <f>IF($F121&lt;&gt;"OK","",I121/HorasDia)</f>
        <v/>
      </c>
      <c r="L121" s="16">
        <f>IF($F121&lt;&gt;"OK","",H121/HorasDia)</f>
        <v/>
      </c>
      <c r="M121" s="17">
        <f>IF($F121&lt;&gt;"OK","",IF(UPPER(TRIM($D121))="NO",INDEX(Cat_TMax,MATCH($C121,Cat_Nombre,0)),INDEX(Cat_TMin,MATCH($C121,Cat_Nombre,0))))</f>
        <v/>
      </c>
      <c r="N121" s="17">
        <f>IF($F121&lt;&gt;"OK","",INDEX(Cat_TMax,MATCH($C121,Cat_Nombre,0)))</f>
        <v/>
      </c>
      <c r="O121" s="18">
        <f>IF($F121&lt;&gt;"OK","",INDEX(Cat_POpus,MATCH($C121,Cat_Nombre,0)))</f>
        <v/>
      </c>
      <c r="P121" s="19">
        <f>IF($F121&lt;&gt;"OK","",M121/1000000*((1-O121)*UsdM_Sonnet+O121*UsdM_Opus))</f>
        <v/>
      </c>
      <c r="Q121" s="19">
        <f>IF($F121&lt;&gt;"OK","",N121/1000000*((1-O121)*UsdM_Sonnet+O121*UsdM_Opus))</f>
        <v/>
      </c>
      <c r="R121" s="19">
        <f>IF($F121&lt;&gt;"OK","",G121*TarifaHora)</f>
        <v/>
      </c>
      <c r="S121" s="19">
        <f>IF($F121&lt;&gt;"OK","",H121*TarifaHora)</f>
        <v/>
      </c>
      <c r="T121" s="10">
        <f>IF($F121&lt;&gt;"OK","",IF(COUNTIFS($A$2:$A121,$A121,$F$2:$F121,"OK")=1,MAX($T$1:$T120)+1,""))</f>
        <v/>
      </c>
    </row>
    <row r="122">
      <c r="A122" s="11" t="n"/>
      <c r="B122" s="11" t="n"/>
      <c r="C122" s="11" t="n"/>
      <c r="D122" s="11" t="n"/>
      <c r="E122" s="11" t="n"/>
      <c r="F122" s="10">
        <f>IF(AND($A122="",$B122="",$C122=""),"",IF($A122="","⚠ Falta hito",IF(ISNA(MATCH($C122,Cat_Nombre,0)),"⚠ Categoría inválida","OK")))</f>
        <v/>
      </c>
      <c r="G122" s="16">
        <f>IF($F122&lt;&gt;"OK","",IF(UPPER(TRIM($D122))="NO",INDEX(Cat_HMax,MATCH($C122,Cat_Nombre,0)),INDEX(Cat_HMin,MATCH($C122,Cat_Nombre,0))))</f>
        <v/>
      </c>
      <c r="H122" s="16">
        <f>IF($F122&lt;&gt;"OK","",INDEX(Cat_HMax,MATCH($C122,Cat_Nombre,0)))</f>
        <v/>
      </c>
      <c r="I122" s="16">
        <f>IF($F122&lt;&gt;"OK","",(G122+H122)/2)</f>
        <v/>
      </c>
      <c r="J122" s="16">
        <f>IF($F122&lt;&gt;"OK","",G122/HorasDia)</f>
        <v/>
      </c>
      <c r="K122" s="16">
        <f>IF($F122&lt;&gt;"OK","",I122/HorasDia)</f>
        <v/>
      </c>
      <c r="L122" s="16">
        <f>IF($F122&lt;&gt;"OK","",H122/HorasDia)</f>
        <v/>
      </c>
      <c r="M122" s="17">
        <f>IF($F122&lt;&gt;"OK","",IF(UPPER(TRIM($D122))="NO",INDEX(Cat_TMax,MATCH($C122,Cat_Nombre,0)),INDEX(Cat_TMin,MATCH($C122,Cat_Nombre,0))))</f>
        <v/>
      </c>
      <c r="N122" s="17">
        <f>IF($F122&lt;&gt;"OK","",INDEX(Cat_TMax,MATCH($C122,Cat_Nombre,0)))</f>
        <v/>
      </c>
      <c r="O122" s="18">
        <f>IF($F122&lt;&gt;"OK","",INDEX(Cat_POpus,MATCH($C122,Cat_Nombre,0)))</f>
        <v/>
      </c>
      <c r="P122" s="19">
        <f>IF($F122&lt;&gt;"OK","",M122/1000000*((1-O122)*UsdM_Sonnet+O122*UsdM_Opus))</f>
        <v/>
      </c>
      <c r="Q122" s="19">
        <f>IF($F122&lt;&gt;"OK","",N122/1000000*((1-O122)*UsdM_Sonnet+O122*UsdM_Opus))</f>
        <v/>
      </c>
      <c r="R122" s="19">
        <f>IF($F122&lt;&gt;"OK","",G122*TarifaHora)</f>
        <v/>
      </c>
      <c r="S122" s="19">
        <f>IF($F122&lt;&gt;"OK","",H122*TarifaHora)</f>
        <v/>
      </c>
      <c r="T122" s="10">
        <f>IF($F122&lt;&gt;"OK","",IF(COUNTIFS($A$2:$A122,$A122,$F$2:$F122,"OK")=1,MAX($T$1:$T121)+1,""))</f>
        <v/>
      </c>
    </row>
    <row r="123">
      <c r="A123" s="11" t="n"/>
      <c r="B123" s="11" t="n"/>
      <c r="C123" s="11" t="n"/>
      <c r="D123" s="11" t="n"/>
      <c r="E123" s="11" t="n"/>
      <c r="F123" s="10">
        <f>IF(AND($A123="",$B123="",$C123=""),"",IF($A123="","⚠ Falta hito",IF(ISNA(MATCH($C123,Cat_Nombre,0)),"⚠ Categoría inválida","OK")))</f>
        <v/>
      </c>
      <c r="G123" s="16">
        <f>IF($F123&lt;&gt;"OK","",IF(UPPER(TRIM($D123))="NO",INDEX(Cat_HMax,MATCH($C123,Cat_Nombre,0)),INDEX(Cat_HMin,MATCH($C123,Cat_Nombre,0))))</f>
        <v/>
      </c>
      <c r="H123" s="16">
        <f>IF($F123&lt;&gt;"OK","",INDEX(Cat_HMax,MATCH($C123,Cat_Nombre,0)))</f>
        <v/>
      </c>
      <c r="I123" s="16">
        <f>IF($F123&lt;&gt;"OK","",(G123+H123)/2)</f>
        <v/>
      </c>
      <c r="J123" s="16">
        <f>IF($F123&lt;&gt;"OK","",G123/HorasDia)</f>
        <v/>
      </c>
      <c r="K123" s="16">
        <f>IF($F123&lt;&gt;"OK","",I123/HorasDia)</f>
        <v/>
      </c>
      <c r="L123" s="16">
        <f>IF($F123&lt;&gt;"OK","",H123/HorasDia)</f>
        <v/>
      </c>
      <c r="M123" s="17">
        <f>IF($F123&lt;&gt;"OK","",IF(UPPER(TRIM($D123))="NO",INDEX(Cat_TMax,MATCH($C123,Cat_Nombre,0)),INDEX(Cat_TMin,MATCH($C123,Cat_Nombre,0))))</f>
        <v/>
      </c>
      <c r="N123" s="17">
        <f>IF($F123&lt;&gt;"OK","",INDEX(Cat_TMax,MATCH($C123,Cat_Nombre,0)))</f>
        <v/>
      </c>
      <c r="O123" s="18">
        <f>IF($F123&lt;&gt;"OK","",INDEX(Cat_POpus,MATCH($C123,Cat_Nombre,0)))</f>
        <v/>
      </c>
      <c r="P123" s="19">
        <f>IF($F123&lt;&gt;"OK","",M123/1000000*((1-O123)*UsdM_Sonnet+O123*UsdM_Opus))</f>
        <v/>
      </c>
      <c r="Q123" s="19">
        <f>IF($F123&lt;&gt;"OK","",N123/1000000*((1-O123)*UsdM_Sonnet+O123*UsdM_Opus))</f>
        <v/>
      </c>
      <c r="R123" s="19">
        <f>IF($F123&lt;&gt;"OK","",G123*TarifaHora)</f>
        <v/>
      </c>
      <c r="S123" s="19">
        <f>IF($F123&lt;&gt;"OK","",H123*TarifaHora)</f>
        <v/>
      </c>
      <c r="T123" s="10">
        <f>IF($F123&lt;&gt;"OK","",IF(COUNTIFS($A$2:$A123,$A123,$F$2:$F123,"OK")=1,MAX($T$1:$T122)+1,""))</f>
        <v/>
      </c>
    </row>
    <row r="124">
      <c r="A124" s="11" t="n"/>
      <c r="B124" s="11" t="n"/>
      <c r="C124" s="11" t="n"/>
      <c r="D124" s="11" t="n"/>
      <c r="E124" s="11" t="n"/>
      <c r="F124" s="10">
        <f>IF(AND($A124="",$B124="",$C124=""),"",IF($A124="","⚠ Falta hito",IF(ISNA(MATCH($C124,Cat_Nombre,0)),"⚠ Categoría inválida","OK")))</f>
        <v/>
      </c>
      <c r="G124" s="16">
        <f>IF($F124&lt;&gt;"OK","",IF(UPPER(TRIM($D124))="NO",INDEX(Cat_HMax,MATCH($C124,Cat_Nombre,0)),INDEX(Cat_HMin,MATCH($C124,Cat_Nombre,0))))</f>
        <v/>
      </c>
      <c r="H124" s="16">
        <f>IF($F124&lt;&gt;"OK","",INDEX(Cat_HMax,MATCH($C124,Cat_Nombre,0)))</f>
        <v/>
      </c>
      <c r="I124" s="16">
        <f>IF($F124&lt;&gt;"OK","",(G124+H124)/2)</f>
        <v/>
      </c>
      <c r="J124" s="16">
        <f>IF($F124&lt;&gt;"OK","",G124/HorasDia)</f>
        <v/>
      </c>
      <c r="K124" s="16">
        <f>IF($F124&lt;&gt;"OK","",I124/HorasDia)</f>
        <v/>
      </c>
      <c r="L124" s="16">
        <f>IF($F124&lt;&gt;"OK","",H124/HorasDia)</f>
        <v/>
      </c>
      <c r="M124" s="17">
        <f>IF($F124&lt;&gt;"OK","",IF(UPPER(TRIM($D124))="NO",INDEX(Cat_TMax,MATCH($C124,Cat_Nombre,0)),INDEX(Cat_TMin,MATCH($C124,Cat_Nombre,0))))</f>
        <v/>
      </c>
      <c r="N124" s="17">
        <f>IF($F124&lt;&gt;"OK","",INDEX(Cat_TMax,MATCH($C124,Cat_Nombre,0)))</f>
        <v/>
      </c>
      <c r="O124" s="18">
        <f>IF($F124&lt;&gt;"OK","",INDEX(Cat_POpus,MATCH($C124,Cat_Nombre,0)))</f>
        <v/>
      </c>
      <c r="P124" s="19">
        <f>IF($F124&lt;&gt;"OK","",M124/1000000*((1-O124)*UsdM_Sonnet+O124*UsdM_Opus))</f>
        <v/>
      </c>
      <c r="Q124" s="19">
        <f>IF($F124&lt;&gt;"OK","",N124/1000000*((1-O124)*UsdM_Sonnet+O124*UsdM_Opus))</f>
        <v/>
      </c>
      <c r="R124" s="19">
        <f>IF($F124&lt;&gt;"OK","",G124*TarifaHora)</f>
        <v/>
      </c>
      <c r="S124" s="19">
        <f>IF($F124&lt;&gt;"OK","",H124*TarifaHora)</f>
        <v/>
      </c>
      <c r="T124" s="10">
        <f>IF($F124&lt;&gt;"OK","",IF(COUNTIFS($A$2:$A124,$A124,$F$2:$F124,"OK")=1,MAX($T$1:$T123)+1,""))</f>
        <v/>
      </c>
    </row>
    <row r="125">
      <c r="A125" s="11" t="n"/>
      <c r="B125" s="11" t="n"/>
      <c r="C125" s="11" t="n"/>
      <c r="D125" s="11" t="n"/>
      <c r="E125" s="11" t="n"/>
      <c r="F125" s="10">
        <f>IF(AND($A125="",$B125="",$C125=""),"",IF($A125="","⚠ Falta hito",IF(ISNA(MATCH($C125,Cat_Nombre,0)),"⚠ Categoría inválida","OK")))</f>
        <v/>
      </c>
      <c r="G125" s="16">
        <f>IF($F125&lt;&gt;"OK","",IF(UPPER(TRIM($D125))="NO",INDEX(Cat_HMax,MATCH($C125,Cat_Nombre,0)),INDEX(Cat_HMin,MATCH($C125,Cat_Nombre,0))))</f>
        <v/>
      </c>
      <c r="H125" s="16">
        <f>IF($F125&lt;&gt;"OK","",INDEX(Cat_HMax,MATCH($C125,Cat_Nombre,0)))</f>
        <v/>
      </c>
      <c r="I125" s="16">
        <f>IF($F125&lt;&gt;"OK","",(G125+H125)/2)</f>
        <v/>
      </c>
      <c r="J125" s="16">
        <f>IF($F125&lt;&gt;"OK","",G125/HorasDia)</f>
        <v/>
      </c>
      <c r="K125" s="16">
        <f>IF($F125&lt;&gt;"OK","",I125/HorasDia)</f>
        <v/>
      </c>
      <c r="L125" s="16">
        <f>IF($F125&lt;&gt;"OK","",H125/HorasDia)</f>
        <v/>
      </c>
      <c r="M125" s="17">
        <f>IF($F125&lt;&gt;"OK","",IF(UPPER(TRIM($D125))="NO",INDEX(Cat_TMax,MATCH($C125,Cat_Nombre,0)),INDEX(Cat_TMin,MATCH($C125,Cat_Nombre,0))))</f>
        <v/>
      </c>
      <c r="N125" s="17">
        <f>IF($F125&lt;&gt;"OK","",INDEX(Cat_TMax,MATCH($C125,Cat_Nombre,0)))</f>
        <v/>
      </c>
      <c r="O125" s="18">
        <f>IF($F125&lt;&gt;"OK","",INDEX(Cat_POpus,MATCH($C125,Cat_Nombre,0)))</f>
        <v/>
      </c>
      <c r="P125" s="19">
        <f>IF($F125&lt;&gt;"OK","",M125/1000000*((1-O125)*UsdM_Sonnet+O125*UsdM_Opus))</f>
        <v/>
      </c>
      <c r="Q125" s="19">
        <f>IF($F125&lt;&gt;"OK","",N125/1000000*((1-O125)*UsdM_Sonnet+O125*UsdM_Opus))</f>
        <v/>
      </c>
      <c r="R125" s="19">
        <f>IF($F125&lt;&gt;"OK","",G125*TarifaHora)</f>
        <v/>
      </c>
      <c r="S125" s="19">
        <f>IF($F125&lt;&gt;"OK","",H125*TarifaHora)</f>
        <v/>
      </c>
      <c r="T125" s="10">
        <f>IF($F125&lt;&gt;"OK","",IF(COUNTIFS($A$2:$A125,$A125,$F$2:$F125,"OK")=1,MAX($T$1:$T124)+1,""))</f>
        <v/>
      </c>
    </row>
    <row r="126">
      <c r="A126" s="11" t="n"/>
      <c r="B126" s="11" t="n"/>
      <c r="C126" s="11" t="n"/>
      <c r="D126" s="11" t="n"/>
      <c r="E126" s="11" t="n"/>
      <c r="F126" s="10">
        <f>IF(AND($A126="",$B126="",$C126=""),"",IF($A126="","⚠ Falta hito",IF(ISNA(MATCH($C126,Cat_Nombre,0)),"⚠ Categoría inválida","OK")))</f>
        <v/>
      </c>
      <c r="G126" s="16">
        <f>IF($F126&lt;&gt;"OK","",IF(UPPER(TRIM($D126))="NO",INDEX(Cat_HMax,MATCH($C126,Cat_Nombre,0)),INDEX(Cat_HMin,MATCH($C126,Cat_Nombre,0))))</f>
        <v/>
      </c>
      <c r="H126" s="16">
        <f>IF($F126&lt;&gt;"OK","",INDEX(Cat_HMax,MATCH($C126,Cat_Nombre,0)))</f>
        <v/>
      </c>
      <c r="I126" s="16">
        <f>IF($F126&lt;&gt;"OK","",(G126+H126)/2)</f>
        <v/>
      </c>
      <c r="J126" s="16">
        <f>IF($F126&lt;&gt;"OK","",G126/HorasDia)</f>
        <v/>
      </c>
      <c r="K126" s="16">
        <f>IF($F126&lt;&gt;"OK","",I126/HorasDia)</f>
        <v/>
      </c>
      <c r="L126" s="16">
        <f>IF($F126&lt;&gt;"OK","",H126/HorasDia)</f>
        <v/>
      </c>
      <c r="M126" s="17">
        <f>IF($F126&lt;&gt;"OK","",IF(UPPER(TRIM($D126))="NO",INDEX(Cat_TMax,MATCH($C126,Cat_Nombre,0)),INDEX(Cat_TMin,MATCH($C126,Cat_Nombre,0))))</f>
        <v/>
      </c>
      <c r="N126" s="17">
        <f>IF($F126&lt;&gt;"OK","",INDEX(Cat_TMax,MATCH($C126,Cat_Nombre,0)))</f>
        <v/>
      </c>
      <c r="O126" s="18">
        <f>IF($F126&lt;&gt;"OK","",INDEX(Cat_POpus,MATCH($C126,Cat_Nombre,0)))</f>
        <v/>
      </c>
      <c r="P126" s="19">
        <f>IF($F126&lt;&gt;"OK","",M126/1000000*((1-O126)*UsdM_Sonnet+O126*UsdM_Opus))</f>
        <v/>
      </c>
      <c r="Q126" s="19">
        <f>IF($F126&lt;&gt;"OK","",N126/1000000*((1-O126)*UsdM_Sonnet+O126*UsdM_Opus))</f>
        <v/>
      </c>
      <c r="R126" s="19">
        <f>IF($F126&lt;&gt;"OK","",G126*TarifaHora)</f>
        <v/>
      </c>
      <c r="S126" s="19">
        <f>IF($F126&lt;&gt;"OK","",H126*TarifaHora)</f>
        <v/>
      </c>
      <c r="T126" s="10">
        <f>IF($F126&lt;&gt;"OK","",IF(COUNTIFS($A$2:$A126,$A126,$F$2:$F126,"OK")=1,MAX($T$1:$T125)+1,""))</f>
        <v/>
      </c>
    </row>
    <row r="127">
      <c r="A127" s="11" t="n"/>
      <c r="B127" s="11" t="n"/>
      <c r="C127" s="11" t="n"/>
      <c r="D127" s="11" t="n"/>
      <c r="E127" s="11" t="n"/>
      <c r="F127" s="10">
        <f>IF(AND($A127="",$B127="",$C127=""),"",IF($A127="","⚠ Falta hito",IF(ISNA(MATCH($C127,Cat_Nombre,0)),"⚠ Categoría inválida","OK")))</f>
        <v/>
      </c>
      <c r="G127" s="16">
        <f>IF($F127&lt;&gt;"OK","",IF(UPPER(TRIM($D127))="NO",INDEX(Cat_HMax,MATCH($C127,Cat_Nombre,0)),INDEX(Cat_HMin,MATCH($C127,Cat_Nombre,0))))</f>
        <v/>
      </c>
      <c r="H127" s="16">
        <f>IF($F127&lt;&gt;"OK","",INDEX(Cat_HMax,MATCH($C127,Cat_Nombre,0)))</f>
        <v/>
      </c>
      <c r="I127" s="16">
        <f>IF($F127&lt;&gt;"OK","",(G127+H127)/2)</f>
        <v/>
      </c>
      <c r="J127" s="16">
        <f>IF($F127&lt;&gt;"OK","",G127/HorasDia)</f>
        <v/>
      </c>
      <c r="K127" s="16">
        <f>IF($F127&lt;&gt;"OK","",I127/HorasDia)</f>
        <v/>
      </c>
      <c r="L127" s="16">
        <f>IF($F127&lt;&gt;"OK","",H127/HorasDia)</f>
        <v/>
      </c>
      <c r="M127" s="17">
        <f>IF($F127&lt;&gt;"OK","",IF(UPPER(TRIM($D127))="NO",INDEX(Cat_TMax,MATCH($C127,Cat_Nombre,0)),INDEX(Cat_TMin,MATCH($C127,Cat_Nombre,0))))</f>
        <v/>
      </c>
      <c r="N127" s="17">
        <f>IF($F127&lt;&gt;"OK","",INDEX(Cat_TMax,MATCH($C127,Cat_Nombre,0)))</f>
        <v/>
      </c>
      <c r="O127" s="18">
        <f>IF($F127&lt;&gt;"OK","",INDEX(Cat_POpus,MATCH($C127,Cat_Nombre,0)))</f>
        <v/>
      </c>
      <c r="P127" s="19">
        <f>IF($F127&lt;&gt;"OK","",M127/1000000*((1-O127)*UsdM_Sonnet+O127*UsdM_Opus))</f>
        <v/>
      </c>
      <c r="Q127" s="19">
        <f>IF($F127&lt;&gt;"OK","",N127/1000000*((1-O127)*UsdM_Sonnet+O127*UsdM_Opus))</f>
        <v/>
      </c>
      <c r="R127" s="19">
        <f>IF($F127&lt;&gt;"OK","",G127*TarifaHora)</f>
        <v/>
      </c>
      <c r="S127" s="19">
        <f>IF($F127&lt;&gt;"OK","",H127*TarifaHora)</f>
        <v/>
      </c>
      <c r="T127" s="10">
        <f>IF($F127&lt;&gt;"OK","",IF(COUNTIFS($A$2:$A127,$A127,$F$2:$F127,"OK")=1,MAX($T$1:$T126)+1,""))</f>
        <v/>
      </c>
    </row>
    <row r="128">
      <c r="A128" s="11" t="n"/>
      <c r="B128" s="11" t="n"/>
      <c r="C128" s="11" t="n"/>
      <c r="D128" s="11" t="n"/>
      <c r="E128" s="11" t="n"/>
      <c r="F128" s="10">
        <f>IF(AND($A128="",$B128="",$C128=""),"",IF($A128="","⚠ Falta hito",IF(ISNA(MATCH($C128,Cat_Nombre,0)),"⚠ Categoría inválida","OK")))</f>
        <v/>
      </c>
      <c r="G128" s="16">
        <f>IF($F128&lt;&gt;"OK","",IF(UPPER(TRIM($D128))="NO",INDEX(Cat_HMax,MATCH($C128,Cat_Nombre,0)),INDEX(Cat_HMin,MATCH($C128,Cat_Nombre,0))))</f>
        <v/>
      </c>
      <c r="H128" s="16">
        <f>IF($F128&lt;&gt;"OK","",INDEX(Cat_HMax,MATCH($C128,Cat_Nombre,0)))</f>
        <v/>
      </c>
      <c r="I128" s="16">
        <f>IF($F128&lt;&gt;"OK","",(G128+H128)/2)</f>
        <v/>
      </c>
      <c r="J128" s="16">
        <f>IF($F128&lt;&gt;"OK","",G128/HorasDia)</f>
        <v/>
      </c>
      <c r="K128" s="16">
        <f>IF($F128&lt;&gt;"OK","",I128/HorasDia)</f>
        <v/>
      </c>
      <c r="L128" s="16">
        <f>IF($F128&lt;&gt;"OK","",H128/HorasDia)</f>
        <v/>
      </c>
      <c r="M128" s="17">
        <f>IF($F128&lt;&gt;"OK","",IF(UPPER(TRIM($D128))="NO",INDEX(Cat_TMax,MATCH($C128,Cat_Nombre,0)),INDEX(Cat_TMin,MATCH($C128,Cat_Nombre,0))))</f>
        <v/>
      </c>
      <c r="N128" s="17">
        <f>IF($F128&lt;&gt;"OK","",INDEX(Cat_TMax,MATCH($C128,Cat_Nombre,0)))</f>
        <v/>
      </c>
      <c r="O128" s="18">
        <f>IF($F128&lt;&gt;"OK","",INDEX(Cat_POpus,MATCH($C128,Cat_Nombre,0)))</f>
        <v/>
      </c>
      <c r="P128" s="19">
        <f>IF($F128&lt;&gt;"OK","",M128/1000000*((1-O128)*UsdM_Sonnet+O128*UsdM_Opus))</f>
        <v/>
      </c>
      <c r="Q128" s="19">
        <f>IF($F128&lt;&gt;"OK","",N128/1000000*((1-O128)*UsdM_Sonnet+O128*UsdM_Opus))</f>
        <v/>
      </c>
      <c r="R128" s="19">
        <f>IF($F128&lt;&gt;"OK","",G128*TarifaHora)</f>
        <v/>
      </c>
      <c r="S128" s="19">
        <f>IF($F128&lt;&gt;"OK","",H128*TarifaHora)</f>
        <v/>
      </c>
      <c r="T128" s="10">
        <f>IF($F128&lt;&gt;"OK","",IF(COUNTIFS($A$2:$A128,$A128,$F$2:$F128,"OK")=1,MAX($T$1:$T127)+1,""))</f>
        <v/>
      </c>
    </row>
    <row r="129">
      <c r="A129" s="11" t="n"/>
      <c r="B129" s="11" t="n"/>
      <c r="C129" s="11" t="n"/>
      <c r="D129" s="11" t="n"/>
      <c r="E129" s="11" t="n"/>
      <c r="F129" s="10">
        <f>IF(AND($A129="",$B129="",$C129=""),"",IF($A129="","⚠ Falta hito",IF(ISNA(MATCH($C129,Cat_Nombre,0)),"⚠ Categoría inválida","OK")))</f>
        <v/>
      </c>
      <c r="G129" s="16">
        <f>IF($F129&lt;&gt;"OK","",IF(UPPER(TRIM($D129))="NO",INDEX(Cat_HMax,MATCH($C129,Cat_Nombre,0)),INDEX(Cat_HMin,MATCH($C129,Cat_Nombre,0))))</f>
        <v/>
      </c>
      <c r="H129" s="16">
        <f>IF($F129&lt;&gt;"OK","",INDEX(Cat_HMax,MATCH($C129,Cat_Nombre,0)))</f>
        <v/>
      </c>
      <c r="I129" s="16">
        <f>IF($F129&lt;&gt;"OK","",(G129+H129)/2)</f>
        <v/>
      </c>
      <c r="J129" s="16">
        <f>IF($F129&lt;&gt;"OK","",G129/HorasDia)</f>
        <v/>
      </c>
      <c r="K129" s="16">
        <f>IF($F129&lt;&gt;"OK","",I129/HorasDia)</f>
        <v/>
      </c>
      <c r="L129" s="16">
        <f>IF($F129&lt;&gt;"OK","",H129/HorasDia)</f>
        <v/>
      </c>
      <c r="M129" s="17">
        <f>IF($F129&lt;&gt;"OK","",IF(UPPER(TRIM($D129))="NO",INDEX(Cat_TMax,MATCH($C129,Cat_Nombre,0)),INDEX(Cat_TMin,MATCH($C129,Cat_Nombre,0))))</f>
        <v/>
      </c>
      <c r="N129" s="17">
        <f>IF($F129&lt;&gt;"OK","",INDEX(Cat_TMax,MATCH($C129,Cat_Nombre,0)))</f>
        <v/>
      </c>
      <c r="O129" s="18">
        <f>IF($F129&lt;&gt;"OK","",INDEX(Cat_POpus,MATCH($C129,Cat_Nombre,0)))</f>
        <v/>
      </c>
      <c r="P129" s="19">
        <f>IF($F129&lt;&gt;"OK","",M129/1000000*((1-O129)*UsdM_Sonnet+O129*UsdM_Opus))</f>
        <v/>
      </c>
      <c r="Q129" s="19">
        <f>IF($F129&lt;&gt;"OK","",N129/1000000*((1-O129)*UsdM_Sonnet+O129*UsdM_Opus))</f>
        <v/>
      </c>
      <c r="R129" s="19">
        <f>IF($F129&lt;&gt;"OK","",G129*TarifaHora)</f>
        <v/>
      </c>
      <c r="S129" s="19">
        <f>IF($F129&lt;&gt;"OK","",H129*TarifaHora)</f>
        <v/>
      </c>
      <c r="T129" s="10">
        <f>IF($F129&lt;&gt;"OK","",IF(COUNTIFS($A$2:$A129,$A129,$F$2:$F129,"OK")=1,MAX($T$1:$T128)+1,""))</f>
        <v/>
      </c>
    </row>
    <row r="130">
      <c r="A130" s="11" t="n"/>
      <c r="B130" s="11" t="n"/>
      <c r="C130" s="11" t="n"/>
      <c r="D130" s="11" t="n"/>
      <c r="E130" s="11" t="n"/>
      <c r="F130" s="10">
        <f>IF(AND($A130="",$B130="",$C130=""),"",IF($A130="","⚠ Falta hito",IF(ISNA(MATCH($C130,Cat_Nombre,0)),"⚠ Categoría inválida","OK")))</f>
        <v/>
      </c>
      <c r="G130" s="16">
        <f>IF($F130&lt;&gt;"OK","",IF(UPPER(TRIM($D130))="NO",INDEX(Cat_HMax,MATCH($C130,Cat_Nombre,0)),INDEX(Cat_HMin,MATCH($C130,Cat_Nombre,0))))</f>
        <v/>
      </c>
      <c r="H130" s="16">
        <f>IF($F130&lt;&gt;"OK","",INDEX(Cat_HMax,MATCH($C130,Cat_Nombre,0)))</f>
        <v/>
      </c>
      <c r="I130" s="16">
        <f>IF($F130&lt;&gt;"OK","",(G130+H130)/2)</f>
        <v/>
      </c>
      <c r="J130" s="16">
        <f>IF($F130&lt;&gt;"OK","",G130/HorasDia)</f>
        <v/>
      </c>
      <c r="K130" s="16">
        <f>IF($F130&lt;&gt;"OK","",I130/HorasDia)</f>
        <v/>
      </c>
      <c r="L130" s="16">
        <f>IF($F130&lt;&gt;"OK","",H130/HorasDia)</f>
        <v/>
      </c>
      <c r="M130" s="17">
        <f>IF($F130&lt;&gt;"OK","",IF(UPPER(TRIM($D130))="NO",INDEX(Cat_TMax,MATCH($C130,Cat_Nombre,0)),INDEX(Cat_TMin,MATCH($C130,Cat_Nombre,0))))</f>
        <v/>
      </c>
      <c r="N130" s="17">
        <f>IF($F130&lt;&gt;"OK","",INDEX(Cat_TMax,MATCH($C130,Cat_Nombre,0)))</f>
        <v/>
      </c>
      <c r="O130" s="18">
        <f>IF($F130&lt;&gt;"OK","",INDEX(Cat_POpus,MATCH($C130,Cat_Nombre,0)))</f>
        <v/>
      </c>
      <c r="P130" s="19">
        <f>IF($F130&lt;&gt;"OK","",M130/1000000*((1-O130)*UsdM_Sonnet+O130*UsdM_Opus))</f>
        <v/>
      </c>
      <c r="Q130" s="19">
        <f>IF($F130&lt;&gt;"OK","",N130/1000000*((1-O130)*UsdM_Sonnet+O130*UsdM_Opus))</f>
        <v/>
      </c>
      <c r="R130" s="19">
        <f>IF($F130&lt;&gt;"OK","",G130*TarifaHora)</f>
        <v/>
      </c>
      <c r="S130" s="19">
        <f>IF($F130&lt;&gt;"OK","",H130*TarifaHora)</f>
        <v/>
      </c>
      <c r="T130" s="10">
        <f>IF($F130&lt;&gt;"OK","",IF(COUNTIFS($A$2:$A130,$A130,$F$2:$F130,"OK")=1,MAX($T$1:$T129)+1,""))</f>
        <v/>
      </c>
    </row>
    <row r="131">
      <c r="A131" s="11" t="n"/>
      <c r="B131" s="11" t="n"/>
      <c r="C131" s="11" t="n"/>
      <c r="D131" s="11" t="n"/>
      <c r="E131" s="11" t="n"/>
      <c r="F131" s="10">
        <f>IF(AND($A131="",$B131="",$C131=""),"",IF($A131="","⚠ Falta hito",IF(ISNA(MATCH($C131,Cat_Nombre,0)),"⚠ Categoría inválida","OK")))</f>
        <v/>
      </c>
      <c r="G131" s="16">
        <f>IF($F131&lt;&gt;"OK","",IF(UPPER(TRIM($D131))="NO",INDEX(Cat_HMax,MATCH($C131,Cat_Nombre,0)),INDEX(Cat_HMin,MATCH($C131,Cat_Nombre,0))))</f>
        <v/>
      </c>
      <c r="H131" s="16">
        <f>IF($F131&lt;&gt;"OK","",INDEX(Cat_HMax,MATCH($C131,Cat_Nombre,0)))</f>
        <v/>
      </c>
      <c r="I131" s="16">
        <f>IF($F131&lt;&gt;"OK","",(G131+H131)/2)</f>
        <v/>
      </c>
      <c r="J131" s="16">
        <f>IF($F131&lt;&gt;"OK","",G131/HorasDia)</f>
        <v/>
      </c>
      <c r="K131" s="16">
        <f>IF($F131&lt;&gt;"OK","",I131/HorasDia)</f>
        <v/>
      </c>
      <c r="L131" s="16">
        <f>IF($F131&lt;&gt;"OK","",H131/HorasDia)</f>
        <v/>
      </c>
      <c r="M131" s="17">
        <f>IF($F131&lt;&gt;"OK","",IF(UPPER(TRIM($D131))="NO",INDEX(Cat_TMax,MATCH($C131,Cat_Nombre,0)),INDEX(Cat_TMin,MATCH($C131,Cat_Nombre,0))))</f>
        <v/>
      </c>
      <c r="N131" s="17">
        <f>IF($F131&lt;&gt;"OK","",INDEX(Cat_TMax,MATCH($C131,Cat_Nombre,0)))</f>
        <v/>
      </c>
      <c r="O131" s="18">
        <f>IF($F131&lt;&gt;"OK","",INDEX(Cat_POpus,MATCH($C131,Cat_Nombre,0)))</f>
        <v/>
      </c>
      <c r="P131" s="19">
        <f>IF($F131&lt;&gt;"OK","",M131/1000000*((1-O131)*UsdM_Sonnet+O131*UsdM_Opus))</f>
        <v/>
      </c>
      <c r="Q131" s="19">
        <f>IF($F131&lt;&gt;"OK","",N131/1000000*((1-O131)*UsdM_Sonnet+O131*UsdM_Opus))</f>
        <v/>
      </c>
      <c r="R131" s="19">
        <f>IF($F131&lt;&gt;"OK","",G131*TarifaHora)</f>
        <v/>
      </c>
      <c r="S131" s="19">
        <f>IF($F131&lt;&gt;"OK","",H131*TarifaHora)</f>
        <v/>
      </c>
      <c r="T131" s="10">
        <f>IF($F131&lt;&gt;"OK","",IF(COUNTIFS($A$2:$A131,$A131,$F$2:$F131,"OK")=1,MAX($T$1:$T130)+1,""))</f>
        <v/>
      </c>
    </row>
    <row r="132">
      <c r="A132" s="11" t="n"/>
      <c r="B132" s="11" t="n"/>
      <c r="C132" s="11" t="n"/>
      <c r="D132" s="11" t="n"/>
      <c r="E132" s="11" t="n"/>
      <c r="F132" s="10">
        <f>IF(AND($A132="",$B132="",$C132=""),"",IF($A132="","⚠ Falta hito",IF(ISNA(MATCH($C132,Cat_Nombre,0)),"⚠ Categoría inválida","OK")))</f>
        <v/>
      </c>
      <c r="G132" s="16">
        <f>IF($F132&lt;&gt;"OK","",IF(UPPER(TRIM($D132))="NO",INDEX(Cat_HMax,MATCH($C132,Cat_Nombre,0)),INDEX(Cat_HMin,MATCH($C132,Cat_Nombre,0))))</f>
        <v/>
      </c>
      <c r="H132" s="16">
        <f>IF($F132&lt;&gt;"OK","",INDEX(Cat_HMax,MATCH($C132,Cat_Nombre,0)))</f>
        <v/>
      </c>
      <c r="I132" s="16">
        <f>IF($F132&lt;&gt;"OK","",(G132+H132)/2)</f>
        <v/>
      </c>
      <c r="J132" s="16">
        <f>IF($F132&lt;&gt;"OK","",G132/HorasDia)</f>
        <v/>
      </c>
      <c r="K132" s="16">
        <f>IF($F132&lt;&gt;"OK","",I132/HorasDia)</f>
        <v/>
      </c>
      <c r="L132" s="16">
        <f>IF($F132&lt;&gt;"OK","",H132/HorasDia)</f>
        <v/>
      </c>
      <c r="M132" s="17">
        <f>IF($F132&lt;&gt;"OK","",IF(UPPER(TRIM($D132))="NO",INDEX(Cat_TMax,MATCH($C132,Cat_Nombre,0)),INDEX(Cat_TMin,MATCH($C132,Cat_Nombre,0))))</f>
        <v/>
      </c>
      <c r="N132" s="17">
        <f>IF($F132&lt;&gt;"OK","",INDEX(Cat_TMax,MATCH($C132,Cat_Nombre,0)))</f>
        <v/>
      </c>
      <c r="O132" s="18">
        <f>IF($F132&lt;&gt;"OK","",INDEX(Cat_POpus,MATCH($C132,Cat_Nombre,0)))</f>
        <v/>
      </c>
      <c r="P132" s="19">
        <f>IF($F132&lt;&gt;"OK","",M132/1000000*((1-O132)*UsdM_Sonnet+O132*UsdM_Opus))</f>
        <v/>
      </c>
      <c r="Q132" s="19">
        <f>IF($F132&lt;&gt;"OK","",N132/1000000*((1-O132)*UsdM_Sonnet+O132*UsdM_Opus))</f>
        <v/>
      </c>
      <c r="R132" s="19">
        <f>IF($F132&lt;&gt;"OK","",G132*TarifaHora)</f>
        <v/>
      </c>
      <c r="S132" s="19">
        <f>IF($F132&lt;&gt;"OK","",H132*TarifaHora)</f>
        <v/>
      </c>
      <c r="T132" s="10">
        <f>IF($F132&lt;&gt;"OK","",IF(COUNTIFS($A$2:$A132,$A132,$F$2:$F132,"OK")=1,MAX($T$1:$T131)+1,""))</f>
        <v/>
      </c>
    </row>
    <row r="133">
      <c r="A133" s="11" t="n"/>
      <c r="B133" s="11" t="n"/>
      <c r="C133" s="11" t="n"/>
      <c r="D133" s="11" t="n"/>
      <c r="E133" s="11" t="n"/>
      <c r="F133" s="10">
        <f>IF(AND($A133="",$B133="",$C133=""),"",IF($A133="","⚠ Falta hito",IF(ISNA(MATCH($C133,Cat_Nombre,0)),"⚠ Categoría inválida","OK")))</f>
        <v/>
      </c>
      <c r="G133" s="16">
        <f>IF($F133&lt;&gt;"OK","",IF(UPPER(TRIM($D133))="NO",INDEX(Cat_HMax,MATCH($C133,Cat_Nombre,0)),INDEX(Cat_HMin,MATCH($C133,Cat_Nombre,0))))</f>
        <v/>
      </c>
      <c r="H133" s="16">
        <f>IF($F133&lt;&gt;"OK","",INDEX(Cat_HMax,MATCH($C133,Cat_Nombre,0)))</f>
        <v/>
      </c>
      <c r="I133" s="16">
        <f>IF($F133&lt;&gt;"OK","",(G133+H133)/2)</f>
        <v/>
      </c>
      <c r="J133" s="16">
        <f>IF($F133&lt;&gt;"OK","",G133/HorasDia)</f>
        <v/>
      </c>
      <c r="K133" s="16">
        <f>IF($F133&lt;&gt;"OK","",I133/HorasDia)</f>
        <v/>
      </c>
      <c r="L133" s="16">
        <f>IF($F133&lt;&gt;"OK","",H133/HorasDia)</f>
        <v/>
      </c>
      <c r="M133" s="17">
        <f>IF($F133&lt;&gt;"OK","",IF(UPPER(TRIM($D133))="NO",INDEX(Cat_TMax,MATCH($C133,Cat_Nombre,0)),INDEX(Cat_TMin,MATCH($C133,Cat_Nombre,0))))</f>
        <v/>
      </c>
      <c r="N133" s="17">
        <f>IF($F133&lt;&gt;"OK","",INDEX(Cat_TMax,MATCH($C133,Cat_Nombre,0)))</f>
        <v/>
      </c>
      <c r="O133" s="18">
        <f>IF($F133&lt;&gt;"OK","",INDEX(Cat_POpus,MATCH($C133,Cat_Nombre,0)))</f>
        <v/>
      </c>
      <c r="P133" s="19">
        <f>IF($F133&lt;&gt;"OK","",M133/1000000*((1-O133)*UsdM_Sonnet+O133*UsdM_Opus))</f>
        <v/>
      </c>
      <c r="Q133" s="19">
        <f>IF($F133&lt;&gt;"OK","",N133/1000000*((1-O133)*UsdM_Sonnet+O133*UsdM_Opus))</f>
        <v/>
      </c>
      <c r="R133" s="19">
        <f>IF($F133&lt;&gt;"OK","",G133*TarifaHora)</f>
        <v/>
      </c>
      <c r="S133" s="19">
        <f>IF($F133&lt;&gt;"OK","",H133*TarifaHora)</f>
        <v/>
      </c>
      <c r="T133" s="10">
        <f>IF($F133&lt;&gt;"OK","",IF(COUNTIFS($A$2:$A133,$A133,$F$2:$F133,"OK")=1,MAX($T$1:$T132)+1,""))</f>
        <v/>
      </c>
    </row>
    <row r="134">
      <c r="A134" s="11" t="n"/>
      <c r="B134" s="11" t="n"/>
      <c r="C134" s="11" t="n"/>
      <c r="D134" s="11" t="n"/>
      <c r="E134" s="11" t="n"/>
      <c r="F134" s="10">
        <f>IF(AND($A134="",$B134="",$C134=""),"",IF($A134="","⚠ Falta hito",IF(ISNA(MATCH($C134,Cat_Nombre,0)),"⚠ Categoría inválida","OK")))</f>
        <v/>
      </c>
      <c r="G134" s="16">
        <f>IF($F134&lt;&gt;"OK","",IF(UPPER(TRIM($D134))="NO",INDEX(Cat_HMax,MATCH($C134,Cat_Nombre,0)),INDEX(Cat_HMin,MATCH($C134,Cat_Nombre,0))))</f>
        <v/>
      </c>
      <c r="H134" s="16">
        <f>IF($F134&lt;&gt;"OK","",INDEX(Cat_HMax,MATCH($C134,Cat_Nombre,0)))</f>
        <v/>
      </c>
      <c r="I134" s="16">
        <f>IF($F134&lt;&gt;"OK","",(G134+H134)/2)</f>
        <v/>
      </c>
      <c r="J134" s="16">
        <f>IF($F134&lt;&gt;"OK","",G134/HorasDia)</f>
        <v/>
      </c>
      <c r="K134" s="16">
        <f>IF($F134&lt;&gt;"OK","",I134/HorasDia)</f>
        <v/>
      </c>
      <c r="L134" s="16">
        <f>IF($F134&lt;&gt;"OK","",H134/HorasDia)</f>
        <v/>
      </c>
      <c r="M134" s="17">
        <f>IF($F134&lt;&gt;"OK","",IF(UPPER(TRIM($D134))="NO",INDEX(Cat_TMax,MATCH($C134,Cat_Nombre,0)),INDEX(Cat_TMin,MATCH($C134,Cat_Nombre,0))))</f>
        <v/>
      </c>
      <c r="N134" s="17">
        <f>IF($F134&lt;&gt;"OK","",INDEX(Cat_TMax,MATCH($C134,Cat_Nombre,0)))</f>
        <v/>
      </c>
      <c r="O134" s="18">
        <f>IF($F134&lt;&gt;"OK","",INDEX(Cat_POpus,MATCH($C134,Cat_Nombre,0)))</f>
        <v/>
      </c>
      <c r="P134" s="19">
        <f>IF($F134&lt;&gt;"OK","",M134/1000000*((1-O134)*UsdM_Sonnet+O134*UsdM_Opus))</f>
        <v/>
      </c>
      <c r="Q134" s="19">
        <f>IF($F134&lt;&gt;"OK","",N134/1000000*((1-O134)*UsdM_Sonnet+O134*UsdM_Opus))</f>
        <v/>
      </c>
      <c r="R134" s="19">
        <f>IF($F134&lt;&gt;"OK","",G134*TarifaHora)</f>
        <v/>
      </c>
      <c r="S134" s="19">
        <f>IF($F134&lt;&gt;"OK","",H134*TarifaHora)</f>
        <v/>
      </c>
      <c r="T134" s="10">
        <f>IF($F134&lt;&gt;"OK","",IF(COUNTIFS($A$2:$A134,$A134,$F$2:$F134,"OK")=1,MAX($T$1:$T133)+1,""))</f>
        <v/>
      </c>
    </row>
    <row r="135">
      <c r="A135" s="11" t="n"/>
      <c r="B135" s="11" t="n"/>
      <c r="C135" s="11" t="n"/>
      <c r="D135" s="11" t="n"/>
      <c r="E135" s="11" t="n"/>
      <c r="F135" s="10">
        <f>IF(AND($A135="",$B135="",$C135=""),"",IF($A135="","⚠ Falta hito",IF(ISNA(MATCH($C135,Cat_Nombre,0)),"⚠ Categoría inválida","OK")))</f>
        <v/>
      </c>
      <c r="G135" s="16">
        <f>IF($F135&lt;&gt;"OK","",IF(UPPER(TRIM($D135))="NO",INDEX(Cat_HMax,MATCH($C135,Cat_Nombre,0)),INDEX(Cat_HMin,MATCH($C135,Cat_Nombre,0))))</f>
        <v/>
      </c>
      <c r="H135" s="16">
        <f>IF($F135&lt;&gt;"OK","",INDEX(Cat_HMax,MATCH($C135,Cat_Nombre,0)))</f>
        <v/>
      </c>
      <c r="I135" s="16">
        <f>IF($F135&lt;&gt;"OK","",(G135+H135)/2)</f>
        <v/>
      </c>
      <c r="J135" s="16">
        <f>IF($F135&lt;&gt;"OK","",G135/HorasDia)</f>
        <v/>
      </c>
      <c r="K135" s="16">
        <f>IF($F135&lt;&gt;"OK","",I135/HorasDia)</f>
        <v/>
      </c>
      <c r="L135" s="16">
        <f>IF($F135&lt;&gt;"OK","",H135/HorasDia)</f>
        <v/>
      </c>
      <c r="M135" s="17">
        <f>IF($F135&lt;&gt;"OK","",IF(UPPER(TRIM($D135))="NO",INDEX(Cat_TMax,MATCH($C135,Cat_Nombre,0)),INDEX(Cat_TMin,MATCH($C135,Cat_Nombre,0))))</f>
        <v/>
      </c>
      <c r="N135" s="17">
        <f>IF($F135&lt;&gt;"OK","",INDEX(Cat_TMax,MATCH($C135,Cat_Nombre,0)))</f>
        <v/>
      </c>
      <c r="O135" s="18">
        <f>IF($F135&lt;&gt;"OK","",INDEX(Cat_POpus,MATCH($C135,Cat_Nombre,0)))</f>
        <v/>
      </c>
      <c r="P135" s="19">
        <f>IF($F135&lt;&gt;"OK","",M135/1000000*((1-O135)*UsdM_Sonnet+O135*UsdM_Opus))</f>
        <v/>
      </c>
      <c r="Q135" s="19">
        <f>IF($F135&lt;&gt;"OK","",N135/1000000*((1-O135)*UsdM_Sonnet+O135*UsdM_Opus))</f>
        <v/>
      </c>
      <c r="R135" s="19">
        <f>IF($F135&lt;&gt;"OK","",G135*TarifaHora)</f>
        <v/>
      </c>
      <c r="S135" s="19">
        <f>IF($F135&lt;&gt;"OK","",H135*TarifaHora)</f>
        <v/>
      </c>
      <c r="T135" s="10">
        <f>IF($F135&lt;&gt;"OK","",IF(COUNTIFS($A$2:$A135,$A135,$F$2:$F135,"OK")=1,MAX($T$1:$T134)+1,""))</f>
        <v/>
      </c>
    </row>
    <row r="136">
      <c r="A136" s="11" t="n"/>
      <c r="B136" s="11" t="n"/>
      <c r="C136" s="11" t="n"/>
      <c r="D136" s="11" t="n"/>
      <c r="E136" s="11" t="n"/>
      <c r="F136" s="10">
        <f>IF(AND($A136="",$B136="",$C136=""),"",IF($A136="","⚠ Falta hito",IF(ISNA(MATCH($C136,Cat_Nombre,0)),"⚠ Categoría inválida","OK")))</f>
        <v/>
      </c>
      <c r="G136" s="16">
        <f>IF($F136&lt;&gt;"OK","",IF(UPPER(TRIM($D136))="NO",INDEX(Cat_HMax,MATCH($C136,Cat_Nombre,0)),INDEX(Cat_HMin,MATCH($C136,Cat_Nombre,0))))</f>
        <v/>
      </c>
      <c r="H136" s="16">
        <f>IF($F136&lt;&gt;"OK","",INDEX(Cat_HMax,MATCH($C136,Cat_Nombre,0)))</f>
        <v/>
      </c>
      <c r="I136" s="16">
        <f>IF($F136&lt;&gt;"OK","",(G136+H136)/2)</f>
        <v/>
      </c>
      <c r="J136" s="16">
        <f>IF($F136&lt;&gt;"OK","",G136/HorasDia)</f>
        <v/>
      </c>
      <c r="K136" s="16">
        <f>IF($F136&lt;&gt;"OK","",I136/HorasDia)</f>
        <v/>
      </c>
      <c r="L136" s="16">
        <f>IF($F136&lt;&gt;"OK","",H136/HorasDia)</f>
        <v/>
      </c>
      <c r="M136" s="17">
        <f>IF($F136&lt;&gt;"OK","",IF(UPPER(TRIM($D136))="NO",INDEX(Cat_TMax,MATCH($C136,Cat_Nombre,0)),INDEX(Cat_TMin,MATCH($C136,Cat_Nombre,0))))</f>
        <v/>
      </c>
      <c r="N136" s="17">
        <f>IF($F136&lt;&gt;"OK","",INDEX(Cat_TMax,MATCH($C136,Cat_Nombre,0)))</f>
        <v/>
      </c>
      <c r="O136" s="18">
        <f>IF($F136&lt;&gt;"OK","",INDEX(Cat_POpus,MATCH($C136,Cat_Nombre,0)))</f>
        <v/>
      </c>
      <c r="P136" s="19">
        <f>IF($F136&lt;&gt;"OK","",M136/1000000*((1-O136)*UsdM_Sonnet+O136*UsdM_Opus))</f>
        <v/>
      </c>
      <c r="Q136" s="19">
        <f>IF($F136&lt;&gt;"OK","",N136/1000000*((1-O136)*UsdM_Sonnet+O136*UsdM_Opus))</f>
        <v/>
      </c>
      <c r="R136" s="19">
        <f>IF($F136&lt;&gt;"OK","",G136*TarifaHora)</f>
        <v/>
      </c>
      <c r="S136" s="19">
        <f>IF($F136&lt;&gt;"OK","",H136*TarifaHora)</f>
        <v/>
      </c>
      <c r="T136" s="10">
        <f>IF($F136&lt;&gt;"OK","",IF(COUNTIFS($A$2:$A136,$A136,$F$2:$F136,"OK")=1,MAX($T$1:$T135)+1,""))</f>
        <v/>
      </c>
    </row>
    <row r="137">
      <c r="A137" s="11" t="n"/>
      <c r="B137" s="11" t="n"/>
      <c r="C137" s="11" t="n"/>
      <c r="D137" s="11" t="n"/>
      <c r="E137" s="11" t="n"/>
      <c r="F137" s="10">
        <f>IF(AND($A137="",$B137="",$C137=""),"",IF($A137="","⚠ Falta hito",IF(ISNA(MATCH($C137,Cat_Nombre,0)),"⚠ Categoría inválida","OK")))</f>
        <v/>
      </c>
      <c r="G137" s="16">
        <f>IF($F137&lt;&gt;"OK","",IF(UPPER(TRIM($D137))="NO",INDEX(Cat_HMax,MATCH($C137,Cat_Nombre,0)),INDEX(Cat_HMin,MATCH($C137,Cat_Nombre,0))))</f>
        <v/>
      </c>
      <c r="H137" s="16">
        <f>IF($F137&lt;&gt;"OK","",INDEX(Cat_HMax,MATCH($C137,Cat_Nombre,0)))</f>
        <v/>
      </c>
      <c r="I137" s="16">
        <f>IF($F137&lt;&gt;"OK","",(G137+H137)/2)</f>
        <v/>
      </c>
      <c r="J137" s="16">
        <f>IF($F137&lt;&gt;"OK","",G137/HorasDia)</f>
        <v/>
      </c>
      <c r="K137" s="16">
        <f>IF($F137&lt;&gt;"OK","",I137/HorasDia)</f>
        <v/>
      </c>
      <c r="L137" s="16">
        <f>IF($F137&lt;&gt;"OK","",H137/HorasDia)</f>
        <v/>
      </c>
      <c r="M137" s="17">
        <f>IF($F137&lt;&gt;"OK","",IF(UPPER(TRIM($D137))="NO",INDEX(Cat_TMax,MATCH($C137,Cat_Nombre,0)),INDEX(Cat_TMin,MATCH($C137,Cat_Nombre,0))))</f>
        <v/>
      </c>
      <c r="N137" s="17">
        <f>IF($F137&lt;&gt;"OK","",INDEX(Cat_TMax,MATCH($C137,Cat_Nombre,0)))</f>
        <v/>
      </c>
      <c r="O137" s="18">
        <f>IF($F137&lt;&gt;"OK","",INDEX(Cat_POpus,MATCH($C137,Cat_Nombre,0)))</f>
        <v/>
      </c>
      <c r="P137" s="19">
        <f>IF($F137&lt;&gt;"OK","",M137/1000000*((1-O137)*UsdM_Sonnet+O137*UsdM_Opus))</f>
        <v/>
      </c>
      <c r="Q137" s="19">
        <f>IF($F137&lt;&gt;"OK","",N137/1000000*((1-O137)*UsdM_Sonnet+O137*UsdM_Opus))</f>
        <v/>
      </c>
      <c r="R137" s="19">
        <f>IF($F137&lt;&gt;"OK","",G137*TarifaHora)</f>
        <v/>
      </c>
      <c r="S137" s="19">
        <f>IF($F137&lt;&gt;"OK","",H137*TarifaHora)</f>
        <v/>
      </c>
      <c r="T137" s="10">
        <f>IF($F137&lt;&gt;"OK","",IF(COUNTIFS($A$2:$A137,$A137,$F$2:$F137,"OK")=1,MAX($T$1:$T136)+1,""))</f>
        <v/>
      </c>
    </row>
    <row r="138">
      <c r="A138" s="11" t="n"/>
      <c r="B138" s="11" t="n"/>
      <c r="C138" s="11" t="n"/>
      <c r="D138" s="11" t="n"/>
      <c r="E138" s="11" t="n"/>
      <c r="F138" s="10">
        <f>IF(AND($A138="",$B138="",$C138=""),"",IF($A138="","⚠ Falta hito",IF(ISNA(MATCH($C138,Cat_Nombre,0)),"⚠ Categoría inválida","OK")))</f>
        <v/>
      </c>
      <c r="G138" s="16">
        <f>IF($F138&lt;&gt;"OK","",IF(UPPER(TRIM($D138))="NO",INDEX(Cat_HMax,MATCH($C138,Cat_Nombre,0)),INDEX(Cat_HMin,MATCH($C138,Cat_Nombre,0))))</f>
        <v/>
      </c>
      <c r="H138" s="16">
        <f>IF($F138&lt;&gt;"OK","",INDEX(Cat_HMax,MATCH($C138,Cat_Nombre,0)))</f>
        <v/>
      </c>
      <c r="I138" s="16">
        <f>IF($F138&lt;&gt;"OK","",(G138+H138)/2)</f>
        <v/>
      </c>
      <c r="J138" s="16">
        <f>IF($F138&lt;&gt;"OK","",G138/HorasDia)</f>
        <v/>
      </c>
      <c r="K138" s="16">
        <f>IF($F138&lt;&gt;"OK","",I138/HorasDia)</f>
        <v/>
      </c>
      <c r="L138" s="16">
        <f>IF($F138&lt;&gt;"OK","",H138/HorasDia)</f>
        <v/>
      </c>
      <c r="M138" s="17">
        <f>IF($F138&lt;&gt;"OK","",IF(UPPER(TRIM($D138))="NO",INDEX(Cat_TMax,MATCH($C138,Cat_Nombre,0)),INDEX(Cat_TMin,MATCH($C138,Cat_Nombre,0))))</f>
        <v/>
      </c>
      <c r="N138" s="17">
        <f>IF($F138&lt;&gt;"OK","",INDEX(Cat_TMax,MATCH($C138,Cat_Nombre,0)))</f>
        <v/>
      </c>
      <c r="O138" s="18">
        <f>IF($F138&lt;&gt;"OK","",INDEX(Cat_POpus,MATCH($C138,Cat_Nombre,0)))</f>
        <v/>
      </c>
      <c r="P138" s="19">
        <f>IF($F138&lt;&gt;"OK","",M138/1000000*((1-O138)*UsdM_Sonnet+O138*UsdM_Opus))</f>
        <v/>
      </c>
      <c r="Q138" s="19">
        <f>IF($F138&lt;&gt;"OK","",N138/1000000*((1-O138)*UsdM_Sonnet+O138*UsdM_Opus))</f>
        <v/>
      </c>
      <c r="R138" s="19">
        <f>IF($F138&lt;&gt;"OK","",G138*TarifaHora)</f>
        <v/>
      </c>
      <c r="S138" s="19">
        <f>IF($F138&lt;&gt;"OK","",H138*TarifaHora)</f>
        <v/>
      </c>
      <c r="T138" s="10">
        <f>IF($F138&lt;&gt;"OK","",IF(COUNTIFS($A$2:$A138,$A138,$F$2:$F138,"OK")=1,MAX($T$1:$T137)+1,""))</f>
        <v/>
      </c>
    </row>
    <row r="139">
      <c r="A139" s="11" t="n"/>
      <c r="B139" s="11" t="n"/>
      <c r="C139" s="11" t="n"/>
      <c r="D139" s="11" t="n"/>
      <c r="E139" s="11" t="n"/>
      <c r="F139" s="10">
        <f>IF(AND($A139="",$B139="",$C139=""),"",IF($A139="","⚠ Falta hito",IF(ISNA(MATCH($C139,Cat_Nombre,0)),"⚠ Categoría inválida","OK")))</f>
        <v/>
      </c>
      <c r="G139" s="16">
        <f>IF($F139&lt;&gt;"OK","",IF(UPPER(TRIM($D139))="NO",INDEX(Cat_HMax,MATCH($C139,Cat_Nombre,0)),INDEX(Cat_HMin,MATCH($C139,Cat_Nombre,0))))</f>
        <v/>
      </c>
      <c r="H139" s="16">
        <f>IF($F139&lt;&gt;"OK","",INDEX(Cat_HMax,MATCH($C139,Cat_Nombre,0)))</f>
        <v/>
      </c>
      <c r="I139" s="16">
        <f>IF($F139&lt;&gt;"OK","",(G139+H139)/2)</f>
        <v/>
      </c>
      <c r="J139" s="16">
        <f>IF($F139&lt;&gt;"OK","",G139/HorasDia)</f>
        <v/>
      </c>
      <c r="K139" s="16">
        <f>IF($F139&lt;&gt;"OK","",I139/HorasDia)</f>
        <v/>
      </c>
      <c r="L139" s="16">
        <f>IF($F139&lt;&gt;"OK","",H139/HorasDia)</f>
        <v/>
      </c>
      <c r="M139" s="17">
        <f>IF($F139&lt;&gt;"OK","",IF(UPPER(TRIM($D139))="NO",INDEX(Cat_TMax,MATCH($C139,Cat_Nombre,0)),INDEX(Cat_TMin,MATCH($C139,Cat_Nombre,0))))</f>
        <v/>
      </c>
      <c r="N139" s="17">
        <f>IF($F139&lt;&gt;"OK","",INDEX(Cat_TMax,MATCH($C139,Cat_Nombre,0)))</f>
        <v/>
      </c>
      <c r="O139" s="18">
        <f>IF($F139&lt;&gt;"OK","",INDEX(Cat_POpus,MATCH($C139,Cat_Nombre,0)))</f>
        <v/>
      </c>
      <c r="P139" s="19">
        <f>IF($F139&lt;&gt;"OK","",M139/1000000*((1-O139)*UsdM_Sonnet+O139*UsdM_Opus))</f>
        <v/>
      </c>
      <c r="Q139" s="19">
        <f>IF($F139&lt;&gt;"OK","",N139/1000000*((1-O139)*UsdM_Sonnet+O139*UsdM_Opus))</f>
        <v/>
      </c>
      <c r="R139" s="19">
        <f>IF($F139&lt;&gt;"OK","",G139*TarifaHora)</f>
        <v/>
      </c>
      <c r="S139" s="19">
        <f>IF($F139&lt;&gt;"OK","",H139*TarifaHora)</f>
        <v/>
      </c>
      <c r="T139" s="10">
        <f>IF($F139&lt;&gt;"OK","",IF(COUNTIFS($A$2:$A139,$A139,$F$2:$F139,"OK")=1,MAX($T$1:$T138)+1,""))</f>
        <v/>
      </c>
    </row>
    <row r="140">
      <c r="A140" s="11" t="n"/>
      <c r="B140" s="11" t="n"/>
      <c r="C140" s="11" t="n"/>
      <c r="D140" s="11" t="n"/>
      <c r="E140" s="11" t="n"/>
      <c r="F140" s="10">
        <f>IF(AND($A140="",$B140="",$C140=""),"",IF($A140="","⚠ Falta hito",IF(ISNA(MATCH($C140,Cat_Nombre,0)),"⚠ Categoría inválida","OK")))</f>
        <v/>
      </c>
      <c r="G140" s="16">
        <f>IF($F140&lt;&gt;"OK","",IF(UPPER(TRIM($D140))="NO",INDEX(Cat_HMax,MATCH($C140,Cat_Nombre,0)),INDEX(Cat_HMin,MATCH($C140,Cat_Nombre,0))))</f>
        <v/>
      </c>
      <c r="H140" s="16">
        <f>IF($F140&lt;&gt;"OK","",INDEX(Cat_HMax,MATCH($C140,Cat_Nombre,0)))</f>
        <v/>
      </c>
      <c r="I140" s="16">
        <f>IF($F140&lt;&gt;"OK","",(G140+H140)/2)</f>
        <v/>
      </c>
      <c r="J140" s="16">
        <f>IF($F140&lt;&gt;"OK","",G140/HorasDia)</f>
        <v/>
      </c>
      <c r="K140" s="16">
        <f>IF($F140&lt;&gt;"OK","",I140/HorasDia)</f>
        <v/>
      </c>
      <c r="L140" s="16">
        <f>IF($F140&lt;&gt;"OK","",H140/HorasDia)</f>
        <v/>
      </c>
      <c r="M140" s="17">
        <f>IF($F140&lt;&gt;"OK","",IF(UPPER(TRIM($D140))="NO",INDEX(Cat_TMax,MATCH($C140,Cat_Nombre,0)),INDEX(Cat_TMin,MATCH($C140,Cat_Nombre,0))))</f>
        <v/>
      </c>
      <c r="N140" s="17">
        <f>IF($F140&lt;&gt;"OK","",INDEX(Cat_TMax,MATCH($C140,Cat_Nombre,0)))</f>
        <v/>
      </c>
      <c r="O140" s="18">
        <f>IF($F140&lt;&gt;"OK","",INDEX(Cat_POpus,MATCH($C140,Cat_Nombre,0)))</f>
        <v/>
      </c>
      <c r="P140" s="19">
        <f>IF($F140&lt;&gt;"OK","",M140/1000000*((1-O140)*UsdM_Sonnet+O140*UsdM_Opus))</f>
        <v/>
      </c>
      <c r="Q140" s="19">
        <f>IF($F140&lt;&gt;"OK","",N140/1000000*((1-O140)*UsdM_Sonnet+O140*UsdM_Opus))</f>
        <v/>
      </c>
      <c r="R140" s="19">
        <f>IF($F140&lt;&gt;"OK","",G140*TarifaHora)</f>
        <v/>
      </c>
      <c r="S140" s="19">
        <f>IF($F140&lt;&gt;"OK","",H140*TarifaHora)</f>
        <v/>
      </c>
      <c r="T140" s="10">
        <f>IF($F140&lt;&gt;"OK","",IF(COUNTIFS($A$2:$A140,$A140,$F$2:$F140,"OK")=1,MAX($T$1:$T139)+1,""))</f>
        <v/>
      </c>
    </row>
    <row r="141">
      <c r="A141" s="11" t="n"/>
      <c r="B141" s="11" t="n"/>
      <c r="C141" s="11" t="n"/>
      <c r="D141" s="11" t="n"/>
      <c r="E141" s="11" t="n"/>
      <c r="F141" s="10">
        <f>IF(AND($A141="",$B141="",$C141=""),"",IF($A141="","⚠ Falta hito",IF(ISNA(MATCH($C141,Cat_Nombre,0)),"⚠ Categoría inválida","OK")))</f>
        <v/>
      </c>
      <c r="G141" s="16">
        <f>IF($F141&lt;&gt;"OK","",IF(UPPER(TRIM($D141))="NO",INDEX(Cat_HMax,MATCH($C141,Cat_Nombre,0)),INDEX(Cat_HMin,MATCH($C141,Cat_Nombre,0))))</f>
        <v/>
      </c>
      <c r="H141" s="16">
        <f>IF($F141&lt;&gt;"OK","",INDEX(Cat_HMax,MATCH($C141,Cat_Nombre,0)))</f>
        <v/>
      </c>
      <c r="I141" s="16">
        <f>IF($F141&lt;&gt;"OK","",(G141+H141)/2)</f>
        <v/>
      </c>
      <c r="J141" s="16">
        <f>IF($F141&lt;&gt;"OK","",G141/HorasDia)</f>
        <v/>
      </c>
      <c r="K141" s="16">
        <f>IF($F141&lt;&gt;"OK","",I141/HorasDia)</f>
        <v/>
      </c>
      <c r="L141" s="16">
        <f>IF($F141&lt;&gt;"OK","",H141/HorasDia)</f>
        <v/>
      </c>
      <c r="M141" s="17">
        <f>IF($F141&lt;&gt;"OK","",IF(UPPER(TRIM($D141))="NO",INDEX(Cat_TMax,MATCH($C141,Cat_Nombre,0)),INDEX(Cat_TMin,MATCH($C141,Cat_Nombre,0))))</f>
        <v/>
      </c>
      <c r="N141" s="17">
        <f>IF($F141&lt;&gt;"OK","",INDEX(Cat_TMax,MATCH($C141,Cat_Nombre,0)))</f>
        <v/>
      </c>
      <c r="O141" s="18">
        <f>IF($F141&lt;&gt;"OK","",INDEX(Cat_POpus,MATCH($C141,Cat_Nombre,0)))</f>
        <v/>
      </c>
      <c r="P141" s="19">
        <f>IF($F141&lt;&gt;"OK","",M141/1000000*((1-O141)*UsdM_Sonnet+O141*UsdM_Opus))</f>
        <v/>
      </c>
      <c r="Q141" s="19">
        <f>IF($F141&lt;&gt;"OK","",N141/1000000*((1-O141)*UsdM_Sonnet+O141*UsdM_Opus))</f>
        <v/>
      </c>
      <c r="R141" s="19">
        <f>IF($F141&lt;&gt;"OK","",G141*TarifaHora)</f>
        <v/>
      </c>
      <c r="S141" s="19">
        <f>IF($F141&lt;&gt;"OK","",H141*TarifaHora)</f>
        <v/>
      </c>
      <c r="T141" s="10">
        <f>IF($F141&lt;&gt;"OK","",IF(COUNTIFS($A$2:$A141,$A141,$F$2:$F141,"OK")=1,MAX($T$1:$T140)+1,""))</f>
        <v/>
      </c>
    </row>
    <row r="142">
      <c r="A142" s="11" t="n"/>
      <c r="B142" s="11" t="n"/>
      <c r="C142" s="11" t="n"/>
      <c r="D142" s="11" t="n"/>
      <c r="E142" s="11" t="n"/>
      <c r="F142" s="10">
        <f>IF(AND($A142="",$B142="",$C142=""),"",IF($A142="","⚠ Falta hito",IF(ISNA(MATCH($C142,Cat_Nombre,0)),"⚠ Categoría inválida","OK")))</f>
        <v/>
      </c>
      <c r="G142" s="16">
        <f>IF($F142&lt;&gt;"OK","",IF(UPPER(TRIM($D142))="NO",INDEX(Cat_HMax,MATCH($C142,Cat_Nombre,0)),INDEX(Cat_HMin,MATCH($C142,Cat_Nombre,0))))</f>
        <v/>
      </c>
      <c r="H142" s="16">
        <f>IF($F142&lt;&gt;"OK","",INDEX(Cat_HMax,MATCH($C142,Cat_Nombre,0)))</f>
        <v/>
      </c>
      <c r="I142" s="16">
        <f>IF($F142&lt;&gt;"OK","",(G142+H142)/2)</f>
        <v/>
      </c>
      <c r="J142" s="16">
        <f>IF($F142&lt;&gt;"OK","",G142/HorasDia)</f>
        <v/>
      </c>
      <c r="K142" s="16">
        <f>IF($F142&lt;&gt;"OK","",I142/HorasDia)</f>
        <v/>
      </c>
      <c r="L142" s="16">
        <f>IF($F142&lt;&gt;"OK","",H142/HorasDia)</f>
        <v/>
      </c>
      <c r="M142" s="17">
        <f>IF($F142&lt;&gt;"OK","",IF(UPPER(TRIM($D142))="NO",INDEX(Cat_TMax,MATCH($C142,Cat_Nombre,0)),INDEX(Cat_TMin,MATCH($C142,Cat_Nombre,0))))</f>
        <v/>
      </c>
      <c r="N142" s="17">
        <f>IF($F142&lt;&gt;"OK","",INDEX(Cat_TMax,MATCH($C142,Cat_Nombre,0)))</f>
        <v/>
      </c>
      <c r="O142" s="18">
        <f>IF($F142&lt;&gt;"OK","",INDEX(Cat_POpus,MATCH($C142,Cat_Nombre,0)))</f>
        <v/>
      </c>
      <c r="P142" s="19">
        <f>IF($F142&lt;&gt;"OK","",M142/1000000*((1-O142)*UsdM_Sonnet+O142*UsdM_Opus))</f>
        <v/>
      </c>
      <c r="Q142" s="19">
        <f>IF($F142&lt;&gt;"OK","",N142/1000000*((1-O142)*UsdM_Sonnet+O142*UsdM_Opus))</f>
        <v/>
      </c>
      <c r="R142" s="19">
        <f>IF($F142&lt;&gt;"OK","",G142*TarifaHora)</f>
        <v/>
      </c>
      <c r="S142" s="19">
        <f>IF($F142&lt;&gt;"OK","",H142*TarifaHora)</f>
        <v/>
      </c>
      <c r="T142" s="10">
        <f>IF($F142&lt;&gt;"OK","",IF(COUNTIFS($A$2:$A142,$A142,$F$2:$F142,"OK")=1,MAX($T$1:$T141)+1,""))</f>
        <v/>
      </c>
    </row>
    <row r="143">
      <c r="A143" s="11" t="n"/>
      <c r="B143" s="11" t="n"/>
      <c r="C143" s="11" t="n"/>
      <c r="D143" s="11" t="n"/>
      <c r="E143" s="11" t="n"/>
      <c r="F143" s="10">
        <f>IF(AND($A143="",$B143="",$C143=""),"",IF($A143="","⚠ Falta hito",IF(ISNA(MATCH($C143,Cat_Nombre,0)),"⚠ Categoría inválida","OK")))</f>
        <v/>
      </c>
      <c r="G143" s="16">
        <f>IF($F143&lt;&gt;"OK","",IF(UPPER(TRIM($D143))="NO",INDEX(Cat_HMax,MATCH($C143,Cat_Nombre,0)),INDEX(Cat_HMin,MATCH($C143,Cat_Nombre,0))))</f>
        <v/>
      </c>
      <c r="H143" s="16">
        <f>IF($F143&lt;&gt;"OK","",INDEX(Cat_HMax,MATCH($C143,Cat_Nombre,0)))</f>
        <v/>
      </c>
      <c r="I143" s="16">
        <f>IF($F143&lt;&gt;"OK","",(G143+H143)/2)</f>
        <v/>
      </c>
      <c r="J143" s="16">
        <f>IF($F143&lt;&gt;"OK","",G143/HorasDia)</f>
        <v/>
      </c>
      <c r="K143" s="16">
        <f>IF($F143&lt;&gt;"OK","",I143/HorasDia)</f>
        <v/>
      </c>
      <c r="L143" s="16">
        <f>IF($F143&lt;&gt;"OK","",H143/HorasDia)</f>
        <v/>
      </c>
      <c r="M143" s="17">
        <f>IF($F143&lt;&gt;"OK","",IF(UPPER(TRIM($D143))="NO",INDEX(Cat_TMax,MATCH($C143,Cat_Nombre,0)),INDEX(Cat_TMin,MATCH($C143,Cat_Nombre,0))))</f>
        <v/>
      </c>
      <c r="N143" s="17">
        <f>IF($F143&lt;&gt;"OK","",INDEX(Cat_TMax,MATCH($C143,Cat_Nombre,0)))</f>
        <v/>
      </c>
      <c r="O143" s="18">
        <f>IF($F143&lt;&gt;"OK","",INDEX(Cat_POpus,MATCH($C143,Cat_Nombre,0)))</f>
        <v/>
      </c>
      <c r="P143" s="19">
        <f>IF($F143&lt;&gt;"OK","",M143/1000000*((1-O143)*UsdM_Sonnet+O143*UsdM_Opus))</f>
        <v/>
      </c>
      <c r="Q143" s="19">
        <f>IF($F143&lt;&gt;"OK","",N143/1000000*((1-O143)*UsdM_Sonnet+O143*UsdM_Opus))</f>
        <v/>
      </c>
      <c r="R143" s="19">
        <f>IF($F143&lt;&gt;"OK","",G143*TarifaHora)</f>
        <v/>
      </c>
      <c r="S143" s="19">
        <f>IF($F143&lt;&gt;"OK","",H143*TarifaHora)</f>
        <v/>
      </c>
      <c r="T143" s="10">
        <f>IF($F143&lt;&gt;"OK","",IF(COUNTIFS($A$2:$A143,$A143,$F$2:$F143,"OK")=1,MAX($T$1:$T142)+1,""))</f>
        <v/>
      </c>
    </row>
    <row r="144">
      <c r="A144" s="11" t="n"/>
      <c r="B144" s="11" t="n"/>
      <c r="C144" s="11" t="n"/>
      <c r="D144" s="11" t="n"/>
      <c r="E144" s="11" t="n"/>
      <c r="F144" s="10">
        <f>IF(AND($A144="",$B144="",$C144=""),"",IF($A144="","⚠ Falta hito",IF(ISNA(MATCH($C144,Cat_Nombre,0)),"⚠ Categoría inválida","OK")))</f>
        <v/>
      </c>
      <c r="G144" s="16">
        <f>IF($F144&lt;&gt;"OK","",IF(UPPER(TRIM($D144))="NO",INDEX(Cat_HMax,MATCH($C144,Cat_Nombre,0)),INDEX(Cat_HMin,MATCH($C144,Cat_Nombre,0))))</f>
        <v/>
      </c>
      <c r="H144" s="16">
        <f>IF($F144&lt;&gt;"OK","",INDEX(Cat_HMax,MATCH($C144,Cat_Nombre,0)))</f>
        <v/>
      </c>
      <c r="I144" s="16">
        <f>IF($F144&lt;&gt;"OK","",(G144+H144)/2)</f>
        <v/>
      </c>
      <c r="J144" s="16">
        <f>IF($F144&lt;&gt;"OK","",G144/HorasDia)</f>
        <v/>
      </c>
      <c r="K144" s="16">
        <f>IF($F144&lt;&gt;"OK","",I144/HorasDia)</f>
        <v/>
      </c>
      <c r="L144" s="16">
        <f>IF($F144&lt;&gt;"OK","",H144/HorasDia)</f>
        <v/>
      </c>
      <c r="M144" s="17">
        <f>IF($F144&lt;&gt;"OK","",IF(UPPER(TRIM($D144))="NO",INDEX(Cat_TMax,MATCH($C144,Cat_Nombre,0)),INDEX(Cat_TMin,MATCH($C144,Cat_Nombre,0))))</f>
        <v/>
      </c>
      <c r="N144" s="17">
        <f>IF($F144&lt;&gt;"OK","",INDEX(Cat_TMax,MATCH($C144,Cat_Nombre,0)))</f>
        <v/>
      </c>
      <c r="O144" s="18">
        <f>IF($F144&lt;&gt;"OK","",INDEX(Cat_POpus,MATCH($C144,Cat_Nombre,0)))</f>
        <v/>
      </c>
      <c r="P144" s="19">
        <f>IF($F144&lt;&gt;"OK","",M144/1000000*((1-O144)*UsdM_Sonnet+O144*UsdM_Opus))</f>
        <v/>
      </c>
      <c r="Q144" s="19">
        <f>IF($F144&lt;&gt;"OK","",N144/1000000*((1-O144)*UsdM_Sonnet+O144*UsdM_Opus))</f>
        <v/>
      </c>
      <c r="R144" s="19">
        <f>IF($F144&lt;&gt;"OK","",G144*TarifaHora)</f>
        <v/>
      </c>
      <c r="S144" s="19">
        <f>IF($F144&lt;&gt;"OK","",H144*TarifaHora)</f>
        <v/>
      </c>
      <c r="T144" s="10">
        <f>IF($F144&lt;&gt;"OK","",IF(COUNTIFS($A$2:$A144,$A144,$F$2:$F144,"OK")=1,MAX($T$1:$T143)+1,""))</f>
        <v/>
      </c>
    </row>
    <row r="145">
      <c r="A145" s="11" t="n"/>
      <c r="B145" s="11" t="n"/>
      <c r="C145" s="11" t="n"/>
      <c r="D145" s="11" t="n"/>
      <c r="E145" s="11" t="n"/>
      <c r="F145" s="10">
        <f>IF(AND($A145="",$B145="",$C145=""),"",IF($A145="","⚠ Falta hito",IF(ISNA(MATCH($C145,Cat_Nombre,0)),"⚠ Categoría inválida","OK")))</f>
        <v/>
      </c>
      <c r="G145" s="16">
        <f>IF($F145&lt;&gt;"OK","",IF(UPPER(TRIM($D145))="NO",INDEX(Cat_HMax,MATCH($C145,Cat_Nombre,0)),INDEX(Cat_HMin,MATCH($C145,Cat_Nombre,0))))</f>
        <v/>
      </c>
      <c r="H145" s="16">
        <f>IF($F145&lt;&gt;"OK","",INDEX(Cat_HMax,MATCH($C145,Cat_Nombre,0)))</f>
        <v/>
      </c>
      <c r="I145" s="16">
        <f>IF($F145&lt;&gt;"OK","",(G145+H145)/2)</f>
        <v/>
      </c>
      <c r="J145" s="16">
        <f>IF($F145&lt;&gt;"OK","",G145/HorasDia)</f>
        <v/>
      </c>
      <c r="K145" s="16">
        <f>IF($F145&lt;&gt;"OK","",I145/HorasDia)</f>
        <v/>
      </c>
      <c r="L145" s="16">
        <f>IF($F145&lt;&gt;"OK","",H145/HorasDia)</f>
        <v/>
      </c>
      <c r="M145" s="17">
        <f>IF($F145&lt;&gt;"OK","",IF(UPPER(TRIM($D145))="NO",INDEX(Cat_TMax,MATCH($C145,Cat_Nombre,0)),INDEX(Cat_TMin,MATCH($C145,Cat_Nombre,0))))</f>
        <v/>
      </c>
      <c r="N145" s="17">
        <f>IF($F145&lt;&gt;"OK","",INDEX(Cat_TMax,MATCH($C145,Cat_Nombre,0)))</f>
        <v/>
      </c>
      <c r="O145" s="18">
        <f>IF($F145&lt;&gt;"OK","",INDEX(Cat_POpus,MATCH($C145,Cat_Nombre,0)))</f>
        <v/>
      </c>
      <c r="P145" s="19">
        <f>IF($F145&lt;&gt;"OK","",M145/1000000*((1-O145)*UsdM_Sonnet+O145*UsdM_Opus))</f>
        <v/>
      </c>
      <c r="Q145" s="19">
        <f>IF($F145&lt;&gt;"OK","",N145/1000000*((1-O145)*UsdM_Sonnet+O145*UsdM_Opus))</f>
        <v/>
      </c>
      <c r="R145" s="19">
        <f>IF($F145&lt;&gt;"OK","",G145*TarifaHora)</f>
        <v/>
      </c>
      <c r="S145" s="19">
        <f>IF($F145&lt;&gt;"OK","",H145*TarifaHora)</f>
        <v/>
      </c>
      <c r="T145" s="10">
        <f>IF($F145&lt;&gt;"OK","",IF(COUNTIFS($A$2:$A145,$A145,$F$2:$F145,"OK")=1,MAX($T$1:$T144)+1,""))</f>
        <v/>
      </c>
    </row>
    <row r="146">
      <c r="A146" s="11" t="n"/>
      <c r="B146" s="11" t="n"/>
      <c r="C146" s="11" t="n"/>
      <c r="D146" s="11" t="n"/>
      <c r="E146" s="11" t="n"/>
      <c r="F146" s="10">
        <f>IF(AND($A146="",$B146="",$C146=""),"",IF($A146="","⚠ Falta hito",IF(ISNA(MATCH($C146,Cat_Nombre,0)),"⚠ Categoría inválida","OK")))</f>
        <v/>
      </c>
      <c r="G146" s="16">
        <f>IF($F146&lt;&gt;"OK","",IF(UPPER(TRIM($D146))="NO",INDEX(Cat_HMax,MATCH($C146,Cat_Nombre,0)),INDEX(Cat_HMin,MATCH($C146,Cat_Nombre,0))))</f>
        <v/>
      </c>
      <c r="H146" s="16">
        <f>IF($F146&lt;&gt;"OK","",INDEX(Cat_HMax,MATCH($C146,Cat_Nombre,0)))</f>
        <v/>
      </c>
      <c r="I146" s="16">
        <f>IF($F146&lt;&gt;"OK","",(G146+H146)/2)</f>
        <v/>
      </c>
      <c r="J146" s="16">
        <f>IF($F146&lt;&gt;"OK","",G146/HorasDia)</f>
        <v/>
      </c>
      <c r="K146" s="16">
        <f>IF($F146&lt;&gt;"OK","",I146/HorasDia)</f>
        <v/>
      </c>
      <c r="L146" s="16">
        <f>IF($F146&lt;&gt;"OK","",H146/HorasDia)</f>
        <v/>
      </c>
      <c r="M146" s="17">
        <f>IF($F146&lt;&gt;"OK","",IF(UPPER(TRIM($D146))="NO",INDEX(Cat_TMax,MATCH($C146,Cat_Nombre,0)),INDEX(Cat_TMin,MATCH($C146,Cat_Nombre,0))))</f>
        <v/>
      </c>
      <c r="N146" s="17">
        <f>IF($F146&lt;&gt;"OK","",INDEX(Cat_TMax,MATCH($C146,Cat_Nombre,0)))</f>
        <v/>
      </c>
      <c r="O146" s="18">
        <f>IF($F146&lt;&gt;"OK","",INDEX(Cat_POpus,MATCH($C146,Cat_Nombre,0)))</f>
        <v/>
      </c>
      <c r="P146" s="19">
        <f>IF($F146&lt;&gt;"OK","",M146/1000000*((1-O146)*UsdM_Sonnet+O146*UsdM_Opus))</f>
        <v/>
      </c>
      <c r="Q146" s="19">
        <f>IF($F146&lt;&gt;"OK","",N146/1000000*((1-O146)*UsdM_Sonnet+O146*UsdM_Opus))</f>
        <v/>
      </c>
      <c r="R146" s="19">
        <f>IF($F146&lt;&gt;"OK","",G146*TarifaHora)</f>
        <v/>
      </c>
      <c r="S146" s="19">
        <f>IF($F146&lt;&gt;"OK","",H146*TarifaHora)</f>
        <v/>
      </c>
      <c r="T146" s="10">
        <f>IF($F146&lt;&gt;"OK","",IF(COUNTIFS($A$2:$A146,$A146,$F$2:$F146,"OK")=1,MAX($T$1:$T145)+1,""))</f>
        <v/>
      </c>
    </row>
    <row r="147">
      <c r="A147" s="11" t="n"/>
      <c r="B147" s="11" t="n"/>
      <c r="C147" s="11" t="n"/>
      <c r="D147" s="11" t="n"/>
      <c r="E147" s="11" t="n"/>
      <c r="F147" s="10">
        <f>IF(AND($A147="",$B147="",$C147=""),"",IF($A147="","⚠ Falta hito",IF(ISNA(MATCH($C147,Cat_Nombre,0)),"⚠ Categoría inválida","OK")))</f>
        <v/>
      </c>
      <c r="G147" s="16">
        <f>IF($F147&lt;&gt;"OK","",IF(UPPER(TRIM($D147))="NO",INDEX(Cat_HMax,MATCH($C147,Cat_Nombre,0)),INDEX(Cat_HMin,MATCH($C147,Cat_Nombre,0))))</f>
        <v/>
      </c>
      <c r="H147" s="16">
        <f>IF($F147&lt;&gt;"OK","",INDEX(Cat_HMax,MATCH($C147,Cat_Nombre,0)))</f>
        <v/>
      </c>
      <c r="I147" s="16">
        <f>IF($F147&lt;&gt;"OK","",(G147+H147)/2)</f>
        <v/>
      </c>
      <c r="J147" s="16">
        <f>IF($F147&lt;&gt;"OK","",G147/HorasDia)</f>
        <v/>
      </c>
      <c r="K147" s="16">
        <f>IF($F147&lt;&gt;"OK","",I147/HorasDia)</f>
        <v/>
      </c>
      <c r="L147" s="16">
        <f>IF($F147&lt;&gt;"OK","",H147/HorasDia)</f>
        <v/>
      </c>
      <c r="M147" s="17">
        <f>IF($F147&lt;&gt;"OK","",IF(UPPER(TRIM($D147))="NO",INDEX(Cat_TMax,MATCH($C147,Cat_Nombre,0)),INDEX(Cat_TMin,MATCH($C147,Cat_Nombre,0))))</f>
        <v/>
      </c>
      <c r="N147" s="17">
        <f>IF($F147&lt;&gt;"OK","",INDEX(Cat_TMax,MATCH($C147,Cat_Nombre,0)))</f>
        <v/>
      </c>
      <c r="O147" s="18">
        <f>IF($F147&lt;&gt;"OK","",INDEX(Cat_POpus,MATCH($C147,Cat_Nombre,0)))</f>
        <v/>
      </c>
      <c r="P147" s="19">
        <f>IF($F147&lt;&gt;"OK","",M147/1000000*((1-O147)*UsdM_Sonnet+O147*UsdM_Opus))</f>
        <v/>
      </c>
      <c r="Q147" s="19">
        <f>IF($F147&lt;&gt;"OK","",N147/1000000*((1-O147)*UsdM_Sonnet+O147*UsdM_Opus))</f>
        <v/>
      </c>
      <c r="R147" s="19">
        <f>IF($F147&lt;&gt;"OK","",G147*TarifaHora)</f>
        <v/>
      </c>
      <c r="S147" s="19">
        <f>IF($F147&lt;&gt;"OK","",H147*TarifaHora)</f>
        <v/>
      </c>
      <c r="T147" s="10">
        <f>IF($F147&lt;&gt;"OK","",IF(COUNTIFS($A$2:$A147,$A147,$F$2:$F147,"OK")=1,MAX($T$1:$T146)+1,""))</f>
        <v/>
      </c>
    </row>
    <row r="148">
      <c r="A148" s="11" t="n"/>
      <c r="B148" s="11" t="n"/>
      <c r="C148" s="11" t="n"/>
      <c r="D148" s="11" t="n"/>
      <c r="E148" s="11" t="n"/>
      <c r="F148" s="10">
        <f>IF(AND($A148="",$B148="",$C148=""),"",IF($A148="","⚠ Falta hito",IF(ISNA(MATCH($C148,Cat_Nombre,0)),"⚠ Categoría inválida","OK")))</f>
        <v/>
      </c>
      <c r="G148" s="16">
        <f>IF($F148&lt;&gt;"OK","",IF(UPPER(TRIM($D148))="NO",INDEX(Cat_HMax,MATCH($C148,Cat_Nombre,0)),INDEX(Cat_HMin,MATCH($C148,Cat_Nombre,0))))</f>
        <v/>
      </c>
      <c r="H148" s="16">
        <f>IF($F148&lt;&gt;"OK","",INDEX(Cat_HMax,MATCH($C148,Cat_Nombre,0)))</f>
        <v/>
      </c>
      <c r="I148" s="16">
        <f>IF($F148&lt;&gt;"OK","",(G148+H148)/2)</f>
        <v/>
      </c>
      <c r="J148" s="16">
        <f>IF($F148&lt;&gt;"OK","",G148/HorasDia)</f>
        <v/>
      </c>
      <c r="K148" s="16">
        <f>IF($F148&lt;&gt;"OK","",I148/HorasDia)</f>
        <v/>
      </c>
      <c r="L148" s="16">
        <f>IF($F148&lt;&gt;"OK","",H148/HorasDia)</f>
        <v/>
      </c>
      <c r="M148" s="17">
        <f>IF($F148&lt;&gt;"OK","",IF(UPPER(TRIM($D148))="NO",INDEX(Cat_TMax,MATCH($C148,Cat_Nombre,0)),INDEX(Cat_TMin,MATCH($C148,Cat_Nombre,0))))</f>
        <v/>
      </c>
      <c r="N148" s="17">
        <f>IF($F148&lt;&gt;"OK","",INDEX(Cat_TMax,MATCH($C148,Cat_Nombre,0)))</f>
        <v/>
      </c>
      <c r="O148" s="18">
        <f>IF($F148&lt;&gt;"OK","",INDEX(Cat_POpus,MATCH($C148,Cat_Nombre,0)))</f>
        <v/>
      </c>
      <c r="P148" s="19">
        <f>IF($F148&lt;&gt;"OK","",M148/1000000*((1-O148)*UsdM_Sonnet+O148*UsdM_Opus))</f>
        <v/>
      </c>
      <c r="Q148" s="19">
        <f>IF($F148&lt;&gt;"OK","",N148/1000000*((1-O148)*UsdM_Sonnet+O148*UsdM_Opus))</f>
        <v/>
      </c>
      <c r="R148" s="19">
        <f>IF($F148&lt;&gt;"OK","",G148*TarifaHora)</f>
        <v/>
      </c>
      <c r="S148" s="19">
        <f>IF($F148&lt;&gt;"OK","",H148*TarifaHora)</f>
        <v/>
      </c>
      <c r="T148" s="10">
        <f>IF($F148&lt;&gt;"OK","",IF(COUNTIFS($A$2:$A148,$A148,$F$2:$F148,"OK")=1,MAX($T$1:$T147)+1,""))</f>
        <v/>
      </c>
    </row>
    <row r="149">
      <c r="A149" s="11" t="n"/>
      <c r="B149" s="11" t="n"/>
      <c r="C149" s="11" t="n"/>
      <c r="D149" s="11" t="n"/>
      <c r="E149" s="11" t="n"/>
      <c r="F149" s="10">
        <f>IF(AND($A149="",$B149="",$C149=""),"",IF($A149="","⚠ Falta hito",IF(ISNA(MATCH($C149,Cat_Nombre,0)),"⚠ Categoría inválida","OK")))</f>
        <v/>
      </c>
      <c r="G149" s="16">
        <f>IF($F149&lt;&gt;"OK","",IF(UPPER(TRIM($D149))="NO",INDEX(Cat_HMax,MATCH($C149,Cat_Nombre,0)),INDEX(Cat_HMin,MATCH($C149,Cat_Nombre,0))))</f>
        <v/>
      </c>
      <c r="H149" s="16">
        <f>IF($F149&lt;&gt;"OK","",INDEX(Cat_HMax,MATCH($C149,Cat_Nombre,0)))</f>
        <v/>
      </c>
      <c r="I149" s="16">
        <f>IF($F149&lt;&gt;"OK","",(G149+H149)/2)</f>
        <v/>
      </c>
      <c r="J149" s="16">
        <f>IF($F149&lt;&gt;"OK","",G149/HorasDia)</f>
        <v/>
      </c>
      <c r="K149" s="16">
        <f>IF($F149&lt;&gt;"OK","",I149/HorasDia)</f>
        <v/>
      </c>
      <c r="L149" s="16">
        <f>IF($F149&lt;&gt;"OK","",H149/HorasDia)</f>
        <v/>
      </c>
      <c r="M149" s="17">
        <f>IF($F149&lt;&gt;"OK","",IF(UPPER(TRIM($D149))="NO",INDEX(Cat_TMax,MATCH($C149,Cat_Nombre,0)),INDEX(Cat_TMin,MATCH($C149,Cat_Nombre,0))))</f>
        <v/>
      </c>
      <c r="N149" s="17">
        <f>IF($F149&lt;&gt;"OK","",INDEX(Cat_TMax,MATCH($C149,Cat_Nombre,0)))</f>
        <v/>
      </c>
      <c r="O149" s="18">
        <f>IF($F149&lt;&gt;"OK","",INDEX(Cat_POpus,MATCH($C149,Cat_Nombre,0)))</f>
        <v/>
      </c>
      <c r="P149" s="19">
        <f>IF($F149&lt;&gt;"OK","",M149/1000000*((1-O149)*UsdM_Sonnet+O149*UsdM_Opus))</f>
        <v/>
      </c>
      <c r="Q149" s="19">
        <f>IF($F149&lt;&gt;"OK","",N149/1000000*((1-O149)*UsdM_Sonnet+O149*UsdM_Opus))</f>
        <v/>
      </c>
      <c r="R149" s="19">
        <f>IF($F149&lt;&gt;"OK","",G149*TarifaHora)</f>
        <v/>
      </c>
      <c r="S149" s="19">
        <f>IF($F149&lt;&gt;"OK","",H149*TarifaHora)</f>
        <v/>
      </c>
      <c r="T149" s="10">
        <f>IF($F149&lt;&gt;"OK","",IF(COUNTIFS($A$2:$A149,$A149,$F$2:$F149,"OK")=1,MAX($T$1:$T148)+1,""))</f>
        <v/>
      </c>
    </row>
    <row r="150">
      <c r="A150" s="11" t="n"/>
      <c r="B150" s="11" t="n"/>
      <c r="C150" s="11" t="n"/>
      <c r="D150" s="11" t="n"/>
      <c r="E150" s="11" t="n"/>
      <c r="F150" s="10">
        <f>IF(AND($A150="",$B150="",$C150=""),"",IF($A150="","⚠ Falta hito",IF(ISNA(MATCH($C150,Cat_Nombre,0)),"⚠ Categoría inválida","OK")))</f>
        <v/>
      </c>
      <c r="G150" s="16">
        <f>IF($F150&lt;&gt;"OK","",IF(UPPER(TRIM($D150))="NO",INDEX(Cat_HMax,MATCH($C150,Cat_Nombre,0)),INDEX(Cat_HMin,MATCH($C150,Cat_Nombre,0))))</f>
        <v/>
      </c>
      <c r="H150" s="16">
        <f>IF($F150&lt;&gt;"OK","",INDEX(Cat_HMax,MATCH($C150,Cat_Nombre,0)))</f>
        <v/>
      </c>
      <c r="I150" s="16">
        <f>IF($F150&lt;&gt;"OK","",(G150+H150)/2)</f>
        <v/>
      </c>
      <c r="J150" s="16">
        <f>IF($F150&lt;&gt;"OK","",G150/HorasDia)</f>
        <v/>
      </c>
      <c r="K150" s="16">
        <f>IF($F150&lt;&gt;"OK","",I150/HorasDia)</f>
        <v/>
      </c>
      <c r="L150" s="16">
        <f>IF($F150&lt;&gt;"OK","",H150/HorasDia)</f>
        <v/>
      </c>
      <c r="M150" s="17">
        <f>IF($F150&lt;&gt;"OK","",IF(UPPER(TRIM($D150))="NO",INDEX(Cat_TMax,MATCH($C150,Cat_Nombre,0)),INDEX(Cat_TMin,MATCH($C150,Cat_Nombre,0))))</f>
        <v/>
      </c>
      <c r="N150" s="17">
        <f>IF($F150&lt;&gt;"OK","",INDEX(Cat_TMax,MATCH($C150,Cat_Nombre,0)))</f>
        <v/>
      </c>
      <c r="O150" s="18">
        <f>IF($F150&lt;&gt;"OK","",INDEX(Cat_POpus,MATCH($C150,Cat_Nombre,0)))</f>
        <v/>
      </c>
      <c r="P150" s="19">
        <f>IF($F150&lt;&gt;"OK","",M150/1000000*((1-O150)*UsdM_Sonnet+O150*UsdM_Opus))</f>
        <v/>
      </c>
      <c r="Q150" s="19">
        <f>IF($F150&lt;&gt;"OK","",N150/1000000*((1-O150)*UsdM_Sonnet+O150*UsdM_Opus))</f>
        <v/>
      </c>
      <c r="R150" s="19">
        <f>IF($F150&lt;&gt;"OK","",G150*TarifaHora)</f>
        <v/>
      </c>
      <c r="S150" s="19">
        <f>IF($F150&lt;&gt;"OK","",H150*TarifaHora)</f>
        <v/>
      </c>
      <c r="T150" s="10">
        <f>IF($F150&lt;&gt;"OK","",IF(COUNTIFS($A$2:$A150,$A150,$F$2:$F150,"OK")=1,MAX($T$1:$T149)+1,""))</f>
        <v/>
      </c>
    </row>
    <row r="151">
      <c r="A151" s="11" t="n"/>
      <c r="B151" s="11" t="n"/>
      <c r="C151" s="11" t="n"/>
      <c r="D151" s="11" t="n"/>
      <c r="E151" s="11" t="n"/>
      <c r="F151" s="10">
        <f>IF(AND($A151="",$B151="",$C151=""),"",IF($A151="","⚠ Falta hito",IF(ISNA(MATCH($C151,Cat_Nombre,0)),"⚠ Categoría inválida","OK")))</f>
        <v/>
      </c>
      <c r="G151" s="16">
        <f>IF($F151&lt;&gt;"OK","",IF(UPPER(TRIM($D151))="NO",INDEX(Cat_HMax,MATCH($C151,Cat_Nombre,0)),INDEX(Cat_HMin,MATCH($C151,Cat_Nombre,0))))</f>
        <v/>
      </c>
      <c r="H151" s="16">
        <f>IF($F151&lt;&gt;"OK","",INDEX(Cat_HMax,MATCH($C151,Cat_Nombre,0)))</f>
        <v/>
      </c>
      <c r="I151" s="16">
        <f>IF($F151&lt;&gt;"OK","",(G151+H151)/2)</f>
        <v/>
      </c>
      <c r="J151" s="16">
        <f>IF($F151&lt;&gt;"OK","",G151/HorasDia)</f>
        <v/>
      </c>
      <c r="K151" s="16">
        <f>IF($F151&lt;&gt;"OK","",I151/HorasDia)</f>
        <v/>
      </c>
      <c r="L151" s="16">
        <f>IF($F151&lt;&gt;"OK","",H151/HorasDia)</f>
        <v/>
      </c>
      <c r="M151" s="17">
        <f>IF($F151&lt;&gt;"OK","",IF(UPPER(TRIM($D151))="NO",INDEX(Cat_TMax,MATCH($C151,Cat_Nombre,0)),INDEX(Cat_TMin,MATCH($C151,Cat_Nombre,0))))</f>
        <v/>
      </c>
      <c r="N151" s="17">
        <f>IF($F151&lt;&gt;"OK","",INDEX(Cat_TMax,MATCH($C151,Cat_Nombre,0)))</f>
        <v/>
      </c>
      <c r="O151" s="18">
        <f>IF($F151&lt;&gt;"OK","",INDEX(Cat_POpus,MATCH($C151,Cat_Nombre,0)))</f>
        <v/>
      </c>
      <c r="P151" s="19">
        <f>IF($F151&lt;&gt;"OK","",M151/1000000*((1-O151)*UsdM_Sonnet+O151*UsdM_Opus))</f>
        <v/>
      </c>
      <c r="Q151" s="19">
        <f>IF($F151&lt;&gt;"OK","",N151/1000000*((1-O151)*UsdM_Sonnet+O151*UsdM_Opus))</f>
        <v/>
      </c>
      <c r="R151" s="19">
        <f>IF($F151&lt;&gt;"OK","",G151*TarifaHora)</f>
        <v/>
      </c>
      <c r="S151" s="19">
        <f>IF($F151&lt;&gt;"OK","",H151*TarifaHora)</f>
        <v/>
      </c>
      <c r="T151" s="10">
        <f>IF($F151&lt;&gt;"OK","",IF(COUNTIFS($A$2:$A151,$A151,$F$2:$F151,"OK")=1,MAX($T$1:$T150)+1,""))</f>
        <v/>
      </c>
    </row>
    <row r="152">
      <c r="A152" s="11" t="n"/>
      <c r="B152" s="11" t="n"/>
      <c r="C152" s="11" t="n"/>
      <c r="D152" s="11" t="n"/>
      <c r="E152" s="11" t="n"/>
      <c r="F152" s="10">
        <f>IF(AND($A152="",$B152="",$C152=""),"",IF($A152="","⚠ Falta hito",IF(ISNA(MATCH($C152,Cat_Nombre,0)),"⚠ Categoría inválida","OK")))</f>
        <v/>
      </c>
      <c r="G152" s="16">
        <f>IF($F152&lt;&gt;"OK","",IF(UPPER(TRIM($D152))="NO",INDEX(Cat_HMax,MATCH($C152,Cat_Nombre,0)),INDEX(Cat_HMin,MATCH($C152,Cat_Nombre,0))))</f>
        <v/>
      </c>
      <c r="H152" s="16">
        <f>IF($F152&lt;&gt;"OK","",INDEX(Cat_HMax,MATCH($C152,Cat_Nombre,0)))</f>
        <v/>
      </c>
      <c r="I152" s="16">
        <f>IF($F152&lt;&gt;"OK","",(G152+H152)/2)</f>
        <v/>
      </c>
      <c r="J152" s="16">
        <f>IF($F152&lt;&gt;"OK","",G152/HorasDia)</f>
        <v/>
      </c>
      <c r="K152" s="16">
        <f>IF($F152&lt;&gt;"OK","",I152/HorasDia)</f>
        <v/>
      </c>
      <c r="L152" s="16">
        <f>IF($F152&lt;&gt;"OK","",H152/HorasDia)</f>
        <v/>
      </c>
      <c r="M152" s="17">
        <f>IF($F152&lt;&gt;"OK","",IF(UPPER(TRIM($D152))="NO",INDEX(Cat_TMax,MATCH($C152,Cat_Nombre,0)),INDEX(Cat_TMin,MATCH($C152,Cat_Nombre,0))))</f>
        <v/>
      </c>
      <c r="N152" s="17">
        <f>IF($F152&lt;&gt;"OK","",INDEX(Cat_TMax,MATCH($C152,Cat_Nombre,0)))</f>
        <v/>
      </c>
      <c r="O152" s="18">
        <f>IF($F152&lt;&gt;"OK","",INDEX(Cat_POpus,MATCH($C152,Cat_Nombre,0)))</f>
        <v/>
      </c>
      <c r="P152" s="19">
        <f>IF($F152&lt;&gt;"OK","",M152/1000000*((1-O152)*UsdM_Sonnet+O152*UsdM_Opus))</f>
        <v/>
      </c>
      <c r="Q152" s="19">
        <f>IF($F152&lt;&gt;"OK","",N152/1000000*((1-O152)*UsdM_Sonnet+O152*UsdM_Opus))</f>
        <v/>
      </c>
      <c r="R152" s="19">
        <f>IF($F152&lt;&gt;"OK","",G152*TarifaHora)</f>
        <v/>
      </c>
      <c r="S152" s="19">
        <f>IF($F152&lt;&gt;"OK","",H152*TarifaHora)</f>
        <v/>
      </c>
      <c r="T152" s="10">
        <f>IF($F152&lt;&gt;"OK","",IF(COUNTIFS($A$2:$A152,$A152,$F$2:$F152,"OK")=1,MAX($T$1:$T151)+1,""))</f>
        <v/>
      </c>
    </row>
    <row r="153">
      <c r="A153" s="11" t="n"/>
      <c r="B153" s="11" t="n"/>
      <c r="C153" s="11" t="n"/>
      <c r="D153" s="11" t="n"/>
      <c r="E153" s="11" t="n"/>
      <c r="F153" s="10">
        <f>IF(AND($A153="",$B153="",$C153=""),"",IF($A153="","⚠ Falta hito",IF(ISNA(MATCH($C153,Cat_Nombre,0)),"⚠ Categoría inválida","OK")))</f>
        <v/>
      </c>
      <c r="G153" s="16">
        <f>IF($F153&lt;&gt;"OK","",IF(UPPER(TRIM($D153))="NO",INDEX(Cat_HMax,MATCH($C153,Cat_Nombre,0)),INDEX(Cat_HMin,MATCH($C153,Cat_Nombre,0))))</f>
        <v/>
      </c>
      <c r="H153" s="16">
        <f>IF($F153&lt;&gt;"OK","",INDEX(Cat_HMax,MATCH($C153,Cat_Nombre,0)))</f>
        <v/>
      </c>
      <c r="I153" s="16">
        <f>IF($F153&lt;&gt;"OK","",(G153+H153)/2)</f>
        <v/>
      </c>
      <c r="J153" s="16">
        <f>IF($F153&lt;&gt;"OK","",G153/HorasDia)</f>
        <v/>
      </c>
      <c r="K153" s="16">
        <f>IF($F153&lt;&gt;"OK","",I153/HorasDia)</f>
        <v/>
      </c>
      <c r="L153" s="16">
        <f>IF($F153&lt;&gt;"OK","",H153/HorasDia)</f>
        <v/>
      </c>
      <c r="M153" s="17">
        <f>IF($F153&lt;&gt;"OK","",IF(UPPER(TRIM($D153))="NO",INDEX(Cat_TMax,MATCH($C153,Cat_Nombre,0)),INDEX(Cat_TMin,MATCH($C153,Cat_Nombre,0))))</f>
        <v/>
      </c>
      <c r="N153" s="17">
        <f>IF($F153&lt;&gt;"OK","",INDEX(Cat_TMax,MATCH($C153,Cat_Nombre,0)))</f>
        <v/>
      </c>
      <c r="O153" s="18">
        <f>IF($F153&lt;&gt;"OK","",INDEX(Cat_POpus,MATCH($C153,Cat_Nombre,0)))</f>
        <v/>
      </c>
      <c r="P153" s="19">
        <f>IF($F153&lt;&gt;"OK","",M153/1000000*((1-O153)*UsdM_Sonnet+O153*UsdM_Opus))</f>
        <v/>
      </c>
      <c r="Q153" s="19">
        <f>IF($F153&lt;&gt;"OK","",N153/1000000*((1-O153)*UsdM_Sonnet+O153*UsdM_Opus))</f>
        <v/>
      </c>
      <c r="R153" s="19">
        <f>IF($F153&lt;&gt;"OK","",G153*TarifaHora)</f>
        <v/>
      </c>
      <c r="S153" s="19">
        <f>IF($F153&lt;&gt;"OK","",H153*TarifaHora)</f>
        <v/>
      </c>
      <c r="T153" s="10">
        <f>IF($F153&lt;&gt;"OK","",IF(COUNTIFS($A$2:$A153,$A153,$F$2:$F153,"OK")=1,MAX($T$1:$T152)+1,""))</f>
        <v/>
      </c>
    </row>
    <row r="154">
      <c r="A154" s="11" t="n"/>
      <c r="B154" s="11" t="n"/>
      <c r="C154" s="11" t="n"/>
      <c r="D154" s="11" t="n"/>
      <c r="E154" s="11" t="n"/>
      <c r="F154" s="10">
        <f>IF(AND($A154="",$B154="",$C154=""),"",IF($A154="","⚠ Falta hito",IF(ISNA(MATCH($C154,Cat_Nombre,0)),"⚠ Categoría inválida","OK")))</f>
        <v/>
      </c>
      <c r="G154" s="16">
        <f>IF($F154&lt;&gt;"OK","",IF(UPPER(TRIM($D154))="NO",INDEX(Cat_HMax,MATCH($C154,Cat_Nombre,0)),INDEX(Cat_HMin,MATCH($C154,Cat_Nombre,0))))</f>
        <v/>
      </c>
      <c r="H154" s="16">
        <f>IF($F154&lt;&gt;"OK","",INDEX(Cat_HMax,MATCH($C154,Cat_Nombre,0)))</f>
        <v/>
      </c>
      <c r="I154" s="16">
        <f>IF($F154&lt;&gt;"OK","",(G154+H154)/2)</f>
        <v/>
      </c>
      <c r="J154" s="16">
        <f>IF($F154&lt;&gt;"OK","",G154/HorasDia)</f>
        <v/>
      </c>
      <c r="K154" s="16">
        <f>IF($F154&lt;&gt;"OK","",I154/HorasDia)</f>
        <v/>
      </c>
      <c r="L154" s="16">
        <f>IF($F154&lt;&gt;"OK","",H154/HorasDia)</f>
        <v/>
      </c>
      <c r="M154" s="17">
        <f>IF($F154&lt;&gt;"OK","",IF(UPPER(TRIM($D154))="NO",INDEX(Cat_TMax,MATCH($C154,Cat_Nombre,0)),INDEX(Cat_TMin,MATCH($C154,Cat_Nombre,0))))</f>
        <v/>
      </c>
      <c r="N154" s="17">
        <f>IF($F154&lt;&gt;"OK","",INDEX(Cat_TMax,MATCH($C154,Cat_Nombre,0)))</f>
        <v/>
      </c>
      <c r="O154" s="18">
        <f>IF($F154&lt;&gt;"OK","",INDEX(Cat_POpus,MATCH($C154,Cat_Nombre,0)))</f>
        <v/>
      </c>
      <c r="P154" s="19">
        <f>IF($F154&lt;&gt;"OK","",M154/1000000*((1-O154)*UsdM_Sonnet+O154*UsdM_Opus))</f>
        <v/>
      </c>
      <c r="Q154" s="19">
        <f>IF($F154&lt;&gt;"OK","",N154/1000000*((1-O154)*UsdM_Sonnet+O154*UsdM_Opus))</f>
        <v/>
      </c>
      <c r="R154" s="19">
        <f>IF($F154&lt;&gt;"OK","",G154*TarifaHora)</f>
        <v/>
      </c>
      <c r="S154" s="19">
        <f>IF($F154&lt;&gt;"OK","",H154*TarifaHora)</f>
        <v/>
      </c>
      <c r="T154" s="10">
        <f>IF($F154&lt;&gt;"OK","",IF(COUNTIFS($A$2:$A154,$A154,$F$2:$F154,"OK")=1,MAX($T$1:$T153)+1,""))</f>
        <v/>
      </c>
    </row>
    <row r="155">
      <c r="A155" s="11" t="n"/>
      <c r="B155" s="11" t="n"/>
      <c r="C155" s="11" t="n"/>
      <c r="D155" s="11" t="n"/>
      <c r="E155" s="11" t="n"/>
      <c r="F155" s="10">
        <f>IF(AND($A155="",$B155="",$C155=""),"",IF($A155="","⚠ Falta hito",IF(ISNA(MATCH($C155,Cat_Nombre,0)),"⚠ Categoría inválida","OK")))</f>
        <v/>
      </c>
      <c r="G155" s="16">
        <f>IF($F155&lt;&gt;"OK","",IF(UPPER(TRIM($D155))="NO",INDEX(Cat_HMax,MATCH($C155,Cat_Nombre,0)),INDEX(Cat_HMin,MATCH($C155,Cat_Nombre,0))))</f>
        <v/>
      </c>
      <c r="H155" s="16">
        <f>IF($F155&lt;&gt;"OK","",INDEX(Cat_HMax,MATCH($C155,Cat_Nombre,0)))</f>
        <v/>
      </c>
      <c r="I155" s="16">
        <f>IF($F155&lt;&gt;"OK","",(G155+H155)/2)</f>
        <v/>
      </c>
      <c r="J155" s="16">
        <f>IF($F155&lt;&gt;"OK","",G155/HorasDia)</f>
        <v/>
      </c>
      <c r="K155" s="16">
        <f>IF($F155&lt;&gt;"OK","",I155/HorasDia)</f>
        <v/>
      </c>
      <c r="L155" s="16">
        <f>IF($F155&lt;&gt;"OK","",H155/HorasDia)</f>
        <v/>
      </c>
      <c r="M155" s="17">
        <f>IF($F155&lt;&gt;"OK","",IF(UPPER(TRIM($D155))="NO",INDEX(Cat_TMax,MATCH($C155,Cat_Nombre,0)),INDEX(Cat_TMin,MATCH($C155,Cat_Nombre,0))))</f>
        <v/>
      </c>
      <c r="N155" s="17">
        <f>IF($F155&lt;&gt;"OK","",INDEX(Cat_TMax,MATCH($C155,Cat_Nombre,0)))</f>
        <v/>
      </c>
      <c r="O155" s="18">
        <f>IF($F155&lt;&gt;"OK","",INDEX(Cat_POpus,MATCH($C155,Cat_Nombre,0)))</f>
        <v/>
      </c>
      <c r="P155" s="19">
        <f>IF($F155&lt;&gt;"OK","",M155/1000000*((1-O155)*UsdM_Sonnet+O155*UsdM_Opus))</f>
        <v/>
      </c>
      <c r="Q155" s="19">
        <f>IF($F155&lt;&gt;"OK","",N155/1000000*((1-O155)*UsdM_Sonnet+O155*UsdM_Opus))</f>
        <v/>
      </c>
      <c r="R155" s="19">
        <f>IF($F155&lt;&gt;"OK","",G155*TarifaHora)</f>
        <v/>
      </c>
      <c r="S155" s="19">
        <f>IF($F155&lt;&gt;"OK","",H155*TarifaHora)</f>
        <v/>
      </c>
      <c r="T155" s="10">
        <f>IF($F155&lt;&gt;"OK","",IF(COUNTIFS($A$2:$A155,$A155,$F$2:$F155,"OK")=1,MAX($T$1:$T154)+1,""))</f>
        <v/>
      </c>
    </row>
    <row r="156">
      <c r="A156" s="11" t="n"/>
      <c r="B156" s="11" t="n"/>
      <c r="C156" s="11" t="n"/>
      <c r="D156" s="11" t="n"/>
      <c r="E156" s="11" t="n"/>
      <c r="F156" s="10">
        <f>IF(AND($A156="",$B156="",$C156=""),"",IF($A156="","⚠ Falta hito",IF(ISNA(MATCH($C156,Cat_Nombre,0)),"⚠ Categoría inválida","OK")))</f>
        <v/>
      </c>
      <c r="G156" s="16">
        <f>IF($F156&lt;&gt;"OK","",IF(UPPER(TRIM($D156))="NO",INDEX(Cat_HMax,MATCH($C156,Cat_Nombre,0)),INDEX(Cat_HMin,MATCH($C156,Cat_Nombre,0))))</f>
        <v/>
      </c>
      <c r="H156" s="16">
        <f>IF($F156&lt;&gt;"OK","",INDEX(Cat_HMax,MATCH($C156,Cat_Nombre,0)))</f>
        <v/>
      </c>
      <c r="I156" s="16">
        <f>IF($F156&lt;&gt;"OK","",(G156+H156)/2)</f>
        <v/>
      </c>
      <c r="J156" s="16">
        <f>IF($F156&lt;&gt;"OK","",G156/HorasDia)</f>
        <v/>
      </c>
      <c r="K156" s="16">
        <f>IF($F156&lt;&gt;"OK","",I156/HorasDia)</f>
        <v/>
      </c>
      <c r="L156" s="16">
        <f>IF($F156&lt;&gt;"OK","",H156/HorasDia)</f>
        <v/>
      </c>
      <c r="M156" s="17">
        <f>IF($F156&lt;&gt;"OK","",IF(UPPER(TRIM($D156))="NO",INDEX(Cat_TMax,MATCH($C156,Cat_Nombre,0)),INDEX(Cat_TMin,MATCH($C156,Cat_Nombre,0))))</f>
        <v/>
      </c>
      <c r="N156" s="17">
        <f>IF($F156&lt;&gt;"OK","",INDEX(Cat_TMax,MATCH($C156,Cat_Nombre,0)))</f>
        <v/>
      </c>
      <c r="O156" s="18">
        <f>IF($F156&lt;&gt;"OK","",INDEX(Cat_POpus,MATCH($C156,Cat_Nombre,0)))</f>
        <v/>
      </c>
      <c r="P156" s="19">
        <f>IF($F156&lt;&gt;"OK","",M156/1000000*((1-O156)*UsdM_Sonnet+O156*UsdM_Opus))</f>
        <v/>
      </c>
      <c r="Q156" s="19">
        <f>IF($F156&lt;&gt;"OK","",N156/1000000*((1-O156)*UsdM_Sonnet+O156*UsdM_Opus))</f>
        <v/>
      </c>
      <c r="R156" s="19">
        <f>IF($F156&lt;&gt;"OK","",G156*TarifaHora)</f>
        <v/>
      </c>
      <c r="S156" s="19">
        <f>IF($F156&lt;&gt;"OK","",H156*TarifaHora)</f>
        <v/>
      </c>
      <c r="T156" s="10">
        <f>IF($F156&lt;&gt;"OK","",IF(COUNTIFS($A$2:$A156,$A156,$F$2:$F156,"OK")=1,MAX($T$1:$T155)+1,""))</f>
        <v/>
      </c>
    </row>
    <row r="157">
      <c r="A157" s="11" t="n"/>
      <c r="B157" s="11" t="n"/>
      <c r="C157" s="11" t="n"/>
      <c r="D157" s="11" t="n"/>
      <c r="E157" s="11" t="n"/>
      <c r="F157" s="10">
        <f>IF(AND($A157="",$B157="",$C157=""),"",IF($A157="","⚠ Falta hito",IF(ISNA(MATCH($C157,Cat_Nombre,0)),"⚠ Categoría inválida","OK")))</f>
        <v/>
      </c>
      <c r="G157" s="16">
        <f>IF($F157&lt;&gt;"OK","",IF(UPPER(TRIM($D157))="NO",INDEX(Cat_HMax,MATCH($C157,Cat_Nombre,0)),INDEX(Cat_HMin,MATCH($C157,Cat_Nombre,0))))</f>
        <v/>
      </c>
      <c r="H157" s="16">
        <f>IF($F157&lt;&gt;"OK","",INDEX(Cat_HMax,MATCH($C157,Cat_Nombre,0)))</f>
        <v/>
      </c>
      <c r="I157" s="16">
        <f>IF($F157&lt;&gt;"OK","",(G157+H157)/2)</f>
        <v/>
      </c>
      <c r="J157" s="16">
        <f>IF($F157&lt;&gt;"OK","",G157/HorasDia)</f>
        <v/>
      </c>
      <c r="K157" s="16">
        <f>IF($F157&lt;&gt;"OK","",I157/HorasDia)</f>
        <v/>
      </c>
      <c r="L157" s="16">
        <f>IF($F157&lt;&gt;"OK","",H157/HorasDia)</f>
        <v/>
      </c>
      <c r="M157" s="17">
        <f>IF($F157&lt;&gt;"OK","",IF(UPPER(TRIM($D157))="NO",INDEX(Cat_TMax,MATCH($C157,Cat_Nombre,0)),INDEX(Cat_TMin,MATCH($C157,Cat_Nombre,0))))</f>
        <v/>
      </c>
      <c r="N157" s="17">
        <f>IF($F157&lt;&gt;"OK","",INDEX(Cat_TMax,MATCH($C157,Cat_Nombre,0)))</f>
        <v/>
      </c>
      <c r="O157" s="18">
        <f>IF($F157&lt;&gt;"OK","",INDEX(Cat_POpus,MATCH($C157,Cat_Nombre,0)))</f>
        <v/>
      </c>
      <c r="P157" s="19">
        <f>IF($F157&lt;&gt;"OK","",M157/1000000*((1-O157)*UsdM_Sonnet+O157*UsdM_Opus))</f>
        <v/>
      </c>
      <c r="Q157" s="19">
        <f>IF($F157&lt;&gt;"OK","",N157/1000000*((1-O157)*UsdM_Sonnet+O157*UsdM_Opus))</f>
        <v/>
      </c>
      <c r="R157" s="19">
        <f>IF($F157&lt;&gt;"OK","",G157*TarifaHora)</f>
        <v/>
      </c>
      <c r="S157" s="19">
        <f>IF($F157&lt;&gt;"OK","",H157*TarifaHora)</f>
        <v/>
      </c>
      <c r="T157" s="10">
        <f>IF($F157&lt;&gt;"OK","",IF(COUNTIFS($A$2:$A157,$A157,$F$2:$F157,"OK")=1,MAX($T$1:$T156)+1,""))</f>
        <v/>
      </c>
    </row>
    <row r="158">
      <c r="A158" s="11" t="n"/>
      <c r="B158" s="11" t="n"/>
      <c r="C158" s="11" t="n"/>
      <c r="D158" s="11" t="n"/>
      <c r="E158" s="11" t="n"/>
      <c r="F158" s="10">
        <f>IF(AND($A158="",$B158="",$C158=""),"",IF($A158="","⚠ Falta hito",IF(ISNA(MATCH($C158,Cat_Nombre,0)),"⚠ Categoría inválida","OK")))</f>
        <v/>
      </c>
      <c r="G158" s="16">
        <f>IF($F158&lt;&gt;"OK","",IF(UPPER(TRIM($D158))="NO",INDEX(Cat_HMax,MATCH($C158,Cat_Nombre,0)),INDEX(Cat_HMin,MATCH($C158,Cat_Nombre,0))))</f>
        <v/>
      </c>
      <c r="H158" s="16">
        <f>IF($F158&lt;&gt;"OK","",INDEX(Cat_HMax,MATCH($C158,Cat_Nombre,0)))</f>
        <v/>
      </c>
      <c r="I158" s="16">
        <f>IF($F158&lt;&gt;"OK","",(G158+H158)/2)</f>
        <v/>
      </c>
      <c r="J158" s="16">
        <f>IF($F158&lt;&gt;"OK","",G158/HorasDia)</f>
        <v/>
      </c>
      <c r="K158" s="16">
        <f>IF($F158&lt;&gt;"OK","",I158/HorasDia)</f>
        <v/>
      </c>
      <c r="L158" s="16">
        <f>IF($F158&lt;&gt;"OK","",H158/HorasDia)</f>
        <v/>
      </c>
      <c r="M158" s="17">
        <f>IF($F158&lt;&gt;"OK","",IF(UPPER(TRIM($D158))="NO",INDEX(Cat_TMax,MATCH($C158,Cat_Nombre,0)),INDEX(Cat_TMin,MATCH($C158,Cat_Nombre,0))))</f>
        <v/>
      </c>
      <c r="N158" s="17">
        <f>IF($F158&lt;&gt;"OK","",INDEX(Cat_TMax,MATCH($C158,Cat_Nombre,0)))</f>
        <v/>
      </c>
      <c r="O158" s="18">
        <f>IF($F158&lt;&gt;"OK","",INDEX(Cat_POpus,MATCH($C158,Cat_Nombre,0)))</f>
        <v/>
      </c>
      <c r="P158" s="19">
        <f>IF($F158&lt;&gt;"OK","",M158/1000000*((1-O158)*UsdM_Sonnet+O158*UsdM_Opus))</f>
        <v/>
      </c>
      <c r="Q158" s="19">
        <f>IF($F158&lt;&gt;"OK","",N158/1000000*((1-O158)*UsdM_Sonnet+O158*UsdM_Opus))</f>
        <v/>
      </c>
      <c r="R158" s="19">
        <f>IF($F158&lt;&gt;"OK","",G158*TarifaHora)</f>
        <v/>
      </c>
      <c r="S158" s="19">
        <f>IF($F158&lt;&gt;"OK","",H158*TarifaHora)</f>
        <v/>
      </c>
      <c r="T158" s="10">
        <f>IF($F158&lt;&gt;"OK","",IF(COUNTIFS($A$2:$A158,$A158,$F$2:$F158,"OK")=1,MAX($T$1:$T157)+1,""))</f>
        <v/>
      </c>
    </row>
    <row r="159">
      <c r="A159" s="11" t="n"/>
      <c r="B159" s="11" t="n"/>
      <c r="C159" s="11" t="n"/>
      <c r="D159" s="11" t="n"/>
      <c r="E159" s="11" t="n"/>
      <c r="F159" s="10">
        <f>IF(AND($A159="",$B159="",$C159=""),"",IF($A159="","⚠ Falta hito",IF(ISNA(MATCH($C159,Cat_Nombre,0)),"⚠ Categoría inválida","OK")))</f>
        <v/>
      </c>
      <c r="G159" s="16">
        <f>IF($F159&lt;&gt;"OK","",IF(UPPER(TRIM($D159))="NO",INDEX(Cat_HMax,MATCH($C159,Cat_Nombre,0)),INDEX(Cat_HMin,MATCH($C159,Cat_Nombre,0))))</f>
        <v/>
      </c>
      <c r="H159" s="16">
        <f>IF($F159&lt;&gt;"OK","",INDEX(Cat_HMax,MATCH($C159,Cat_Nombre,0)))</f>
        <v/>
      </c>
      <c r="I159" s="16">
        <f>IF($F159&lt;&gt;"OK","",(G159+H159)/2)</f>
        <v/>
      </c>
      <c r="J159" s="16">
        <f>IF($F159&lt;&gt;"OK","",G159/HorasDia)</f>
        <v/>
      </c>
      <c r="K159" s="16">
        <f>IF($F159&lt;&gt;"OK","",I159/HorasDia)</f>
        <v/>
      </c>
      <c r="L159" s="16">
        <f>IF($F159&lt;&gt;"OK","",H159/HorasDia)</f>
        <v/>
      </c>
      <c r="M159" s="17">
        <f>IF($F159&lt;&gt;"OK","",IF(UPPER(TRIM($D159))="NO",INDEX(Cat_TMax,MATCH($C159,Cat_Nombre,0)),INDEX(Cat_TMin,MATCH($C159,Cat_Nombre,0))))</f>
        <v/>
      </c>
      <c r="N159" s="17">
        <f>IF($F159&lt;&gt;"OK","",INDEX(Cat_TMax,MATCH($C159,Cat_Nombre,0)))</f>
        <v/>
      </c>
      <c r="O159" s="18">
        <f>IF($F159&lt;&gt;"OK","",INDEX(Cat_POpus,MATCH($C159,Cat_Nombre,0)))</f>
        <v/>
      </c>
      <c r="P159" s="19">
        <f>IF($F159&lt;&gt;"OK","",M159/1000000*((1-O159)*UsdM_Sonnet+O159*UsdM_Opus))</f>
        <v/>
      </c>
      <c r="Q159" s="19">
        <f>IF($F159&lt;&gt;"OK","",N159/1000000*((1-O159)*UsdM_Sonnet+O159*UsdM_Opus))</f>
        <v/>
      </c>
      <c r="R159" s="19">
        <f>IF($F159&lt;&gt;"OK","",G159*TarifaHora)</f>
        <v/>
      </c>
      <c r="S159" s="19">
        <f>IF($F159&lt;&gt;"OK","",H159*TarifaHora)</f>
        <v/>
      </c>
      <c r="T159" s="10">
        <f>IF($F159&lt;&gt;"OK","",IF(COUNTIFS($A$2:$A159,$A159,$F$2:$F159,"OK")=1,MAX($T$1:$T158)+1,""))</f>
        <v/>
      </c>
    </row>
    <row r="160">
      <c r="A160" s="11" t="n"/>
      <c r="B160" s="11" t="n"/>
      <c r="C160" s="11" t="n"/>
      <c r="D160" s="11" t="n"/>
      <c r="E160" s="11" t="n"/>
      <c r="F160" s="10">
        <f>IF(AND($A160="",$B160="",$C160=""),"",IF($A160="","⚠ Falta hito",IF(ISNA(MATCH($C160,Cat_Nombre,0)),"⚠ Categoría inválida","OK")))</f>
        <v/>
      </c>
      <c r="G160" s="16">
        <f>IF($F160&lt;&gt;"OK","",IF(UPPER(TRIM($D160))="NO",INDEX(Cat_HMax,MATCH($C160,Cat_Nombre,0)),INDEX(Cat_HMin,MATCH($C160,Cat_Nombre,0))))</f>
        <v/>
      </c>
      <c r="H160" s="16">
        <f>IF($F160&lt;&gt;"OK","",INDEX(Cat_HMax,MATCH($C160,Cat_Nombre,0)))</f>
        <v/>
      </c>
      <c r="I160" s="16">
        <f>IF($F160&lt;&gt;"OK","",(G160+H160)/2)</f>
        <v/>
      </c>
      <c r="J160" s="16">
        <f>IF($F160&lt;&gt;"OK","",G160/HorasDia)</f>
        <v/>
      </c>
      <c r="K160" s="16">
        <f>IF($F160&lt;&gt;"OK","",I160/HorasDia)</f>
        <v/>
      </c>
      <c r="L160" s="16">
        <f>IF($F160&lt;&gt;"OK","",H160/HorasDia)</f>
        <v/>
      </c>
      <c r="M160" s="17">
        <f>IF($F160&lt;&gt;"OK","",IF(UPPER(TRIM($D160))="NO",INDEX(Cat_TMax,MATCH($C160,Cat_Nombre,0)),INDEX(Cat_TMin,MATCH($C160,Cat_Nombre,0))))</f>
        <v/>
      </c>
      <c r="N160" s="17">
        <f>IF($F160&lt;&gt;"OK","",INDEX(Cat_TMax,MATCH($C160,Cat_Nombre,0)))</f>
        <v/>
      </c>
      <c r="O160" s="18">
        <f>IF($F160&lt;&gt;"OK","",INDEX(Cat_POpus,MATCH($C160,Cat_Nombre,0)))</f>
        <v/>
      </c>
      <c r="P160" s="19">
        <f>IF($F160&lt;&gt;"OK","",M160/1000000*((1-O160)*UsdM_Sonnet+O160*UsdM_Opus))</f>
        <v/>
      </c>
      <c r="Q160" s="19">
        <f>IF($F160&lt;&gt;"OK","",N160/1000000*((1-O160)*UsdM_Sonnet+O160*UsdM_Opus))</f>
        <v/>
      </c>
      <c r="R160" s="19">
        <f>IF($F160&lt;&gt;"OK","",G160*TarifaHora)</f>
        <v/>
      </c>
      <c r="S160" s="19">
        <f>IF($F160&lt;&gt;"OK","",H160*TarifaHora)</f>
        <v/>
      </c>
      <c r="T160" s="10">
        <f>IF($F160&lt;&gt;"OK","",IF(COUNTIFS($A$2:$A160,$A160,$F$2:$F160,"OK")=1,MAX($T$1:$T159)+1,""))</f>
        <v/>
      </c>
    </row>
    <row r="161">
      <c r="A161" s="11" t="n"/>
      <c r="B161" s="11" t="n"/>
      <c r="C161" s="11" t="n"/>
      <c r="D161" s="11" t="n"/>
      <c r="E161" s="11" t="n"/>
      <c r="F161" s="10">
        <f>IF(AND($A161="",$B161="",$C161=""),"",IF($A161="","⚠ Falta hito",IF(ISNA(MATCH($C161,Cat_Nombre,0)),"⚠ Categoría inválida","OK")))</f>
        <v/>
      </c>
      <c r="G161" s="16">
        <f>IF($F161&lt;&gt;"OK","",IF(UPPER(TRIM($D161))="NO",INDEX(Cat_HMax,MATCH($C161,Cat_Nombre,0)),INDEX(Cat_HMin,MATCH($C161,Cat_Nombre,0))))</f>
        <v/>
      </c>
      <c r="H161" s="16">
        <f>IF($F161&lt;&gt;"OK","",INDEX(Cat_HMax,MATCH($C161,Cat_Nombre,0)))</f>
        <v/>
      </c>
      <c r="I161" s="16">
        <f>IF($F161&lt;&gt;"OK","",(G161+H161)/2)</f>
        <v/>
      </c>
      <c r="J161" s="16">
        <f>IF($F161&lt;&gt;"OK","",G161/HorasDia)</f>
        <v/>
      </c>
      <c r="K161" s="16">
        <f>IF($F161&lt;&gt;"OK","",I161/HorasDia)</f>
        <v/>
      </c>
      <c r="L161" s="16">
        <f>IF($F161&lt;&gt;"OK","",H161/HorasDia)</f>
        <v/>
      </c>
      <c r="M161" s="17">
        <f>IF($F161&lt;&gt;"OK","",IF(UPPER(TRIM($D161))="NO",INDEX(Cat_TMax,MATCH($C161,Cat_Nombre,0)),INDEX(Cat_TMin,MATCH($C161,Cat_Nombre,0))))</f>
        <v/>
      </c>
      <c r="N161" s="17">
        <f>IF($F161&lt;&gt;"OK","",INDEX(Cat_TMax,MATCH($C161,Cat_Nombre,0)))</f>
        <v/>
      </c>
      <c r="O161" s="18">
        <f>IF($F161&lt;&gt;"OK","",INDEX(Cat_POpus,MATCH($C161,Cat_Nombre,0)))</f>
        <v/>
      </c>
      <c r="P161" s="19">
        <f>IF($F161&lt;&gt;"OK","",M161/1000000*((1-O161)*UsdM_Sonnet+O161*UsdM_Opus))</f>
        <v/>
      </c>
      <c r="Q161" s="19">
        <f>IF($F161&lt;&gt;"OK","",N161/1000000*((1-O161)*UsdM_Sonnet+O161*UsdM_Opus))</f>
        <v/>
      </c>
      <c r="R161" s="19">
        <f>IF($F161&lt;&gt;"OK","",G161*TarifaHora)</f>
        <v/>
      </c>
      <c r="S161" s="19">
        <f>IF($F161&lt;&gt;"OK","",H161*TarifaHora)</f>
        <v/>
      </c>
      <c r="T161" s="10">
        <f>IF($F161&lt;&gt;"OK","",IF(COUNTIFS($A$2:$A161,$A161,$F$2:$F161,"OK")=1,MAX($T$1:$T160)+1,""))</f>
        <v/>
      </c>
    </row>
    <row r="162">
      <c r="A162" s="11" t="n"/>
      <c r="B162" s="11" t="n"/>
      <c r="C162" s="11" t="n"/>
      <c r="D162" s="11" t="n"/>
      <c r="E162" s="11" t="n"/>
      <c r="F162" s="10">
        <f>IF(AND($A162="",$B162="",$C162=""),"",IF($A162="","⚠ Falta hito",IF(ISNA(MATCH($C162,Cat_Nombre,0)),"⚠ Categoría inválida","OK")))</f>
        <v/>
      </c>
      <c r="G162" s="16">
        <f>IF($F162&lt;&gt;"OK","",IF(UPPER(TRIM($D162))="NO",INDEX(Cat_HMax,MATCH($C162,Cat_Nombre,0)),INDEX(Cat_HMin,MATCH($C162,Cat_Nombre,0))))</f>
        <v/>
      </c>
      <c r="H162" s="16">
        <f>IF($F162&lt;&gt;"OK","",INDEX(Cat_HMax,MATCH($C162,Cat_Nombre,0)))</f>
        <v/>
      </c>
      <c r="I162" s="16">
        <f>IF($F162&lt;&gt;"OK","",(G162+H162)/2)</f>
        <v/>
      </c>
      <c r="J162" s="16">
        <f>IF($F162&lt;&gt;"OK","",G162/HorasDia)</f>
        <v/>
      </c>
      <c r="K162" s="16">
        <f>IF($F162&lt;&gt;"OK","",I162/HorasDia)</f>
        <v/>
      </c>
      <c r="L162" s="16">
        <f>IF($F162&lt;&gt;"OK","",H162/HorasDia)</f>
        <v/>
      </c>
      <c r="M162" s="17">
        <f>IF($F162&lt;&gt;"OK","",IF(UPPER(TRIM($D162))="NO",INDEX(Cat_TMax,MATCH($C162,Cat_Nombre,0)),INDEX(Cat_TMin,MATCH($C162,Cat_Nombre,0))))</f>
        <v/>
      </c>
      <c r="N162" s="17">
        <f>IF($F162&lt;&gt;"OK","",INDEX(Cat_TMax,MATCH($C162,Cat_Nombre,0)))</f>
        <v/>
      </c>
      <c r="O162" s="18">
        <f>IF($F162&lt;&gt;"OK","",INDEX(Cat_POpus,MATCH($C162,Cat_Nombre,0)))</f>
        <v/>
      </c>
      <c r="P162" s="19">
        <f>IF($F162&lt;&gt;"OK","",M162/1000000*((1-O162)*UsdM_Sonnet+O162*UsdM_Opus))</f>
        <v/>
      </c>
      <c r="Q162" s="19">
        <f>IF($F162&lt;&gt;"OK","",N162/1000000*((1-O162)*UsdM_Sonnet+O162*UsdM_Opus))</f>
        <v/>
      </c>
      <c r="R162" s="19">
        <f>IF($F162&lt;&gt;"OK","",G162*TarifaHora)</f>
        <v/>
      </c>
      <c r="S162" s="19">
        <f>IF($F162&lt;&gt;"OK","",H162*TarifaHora)</f>
        <v/>
      </c>
      <c r="T162" s="10">
        <f>IF($F162&lt;&gt;"OK","",IF(COUNTIFS($A$2:$A162,$A162,$F$2:$F162,"OK")=1,MAX($T$1:$T161)+1,""))</f>
        <v/>
      </c>
    </row>
    <row r="163">
      <c r="A163" s="11" t="n"/>
      <c r="B163" s="11" t="n"/>
      <c r="C163" s="11" t="n"/>
      <c r="D163" s="11" t="n"/>
      <c r="E163" s="11" t="n"/>
      <c r="F163" s="10">
        <f>IF(AND($A163="",$B163="",$C163=""),"",IF($A163="","⚠ Falta hito",IF(ISNA(MATCH($C163,Cat_Nombre,0)),"⚠ Categoría inválida","OK")))</f>
        <v/>
      </c>
      <c r="G163" s="16">
        <f>IF($F163&lt;&gt;"OK","",IF(UPPER(TRIM($D163))="NO",INDEX(Cat_HMax,MATCH($C163,Cat_Nombre,0)),INDEX(Cat_HMin,MATCH($C163,Cat_Nombre,0))))</f>
        <v/>
      </c>
      <c r="H163" s="16">
        <f>IF($F163&lt;&gt;"OK","",INDEX(Cat_HMax,MATCH($C163,Cat_Nombre,0)))</f>
        <v/>
      </c>
      <c r="I163" s="16">
        <f>IF($F163&lt;&gt;"OK","",(G163+H163)/2)</f>
        <v/>
      </c>
      <c r="J163" s="16">
        <f>IF($F163&lt;&gt;"OK","",G163/HorasDia)</f>
        <v/>
      </c>
      <c r="K163" s="16">
        <f>IF($F163&lt;&gt;"OK","",I163/HorasDia)</f>
        <v/>
      </c>
      <c r="L163" s="16">
        <f>IF($F163&lt;&gt;"OK","",H163/HorasDia)</f>
        <v/>
      </c>
      <c r="M163" s="17">
        <f>IF($F163&lt;&gt;"OK","",IF(UPPER(TRIM($D163))="NO",INDEX(Cat_TMax,MATCH($C163,Cat_Nombre,0)),INDEX(Cat_TMin,MATCH($C163,Cat_Nombre,0))))</f>
        <v/>
      </c>
      <c r="N163" s="17">
        <f>IF($F163&lt;&gt;"OK","",INDEX(Cat_TMax,MATCH($C163,Cat_Nombre,0)))</f>
        <v/>
      </c>
      <c r="O163" s="18">
        <f>IF($F163&lt;&gt;"OK","",INDEX(Cat_POpus,MATCH($C163,Cat_Nombre,0)))</f>
        <v/>
      </c>
      <c r="P163" s="19">
        <f>IF($F163&lt;&gt;"OK","",M163/1000000*((1-O163)*UsdM_Sonnet+O163*UsdM_Opus))</f>
        <v/>
      </c>
      <c r="Q163" s="19">
        <f>IF($F163&lt;&gt;"OK","",N163/1000000*((1-O163)*UsdM_Sonnet+O163*UsdM_Opus))</f>
        <v/>
      </c>
      <c r="R163" s="19">
        <f>IF($F163&lt;&gt;"OK","",G163*TarifaHora)</f>
        <v/>
      </c>
      <c r="S163" s="19">
        <f>IF($F163&lt;&gt;"OK","",H163*TarifaHora)</f>
        <v/>
      </c>
      <c r="T163" s="10">
        <f>IF($F163&lt;&gt;"OK","",IF(COUNTIFS($A$2:$A163,$A163,$F$2:$F163,"OK")=1,MAX($T$1:$T162)+1,""))</f>
        <v/>
      </c>
    </row>
    <row r="164">
      <c r="A164" s="11" t="n"/>
      <c r="B164" s="11" t="n"/>
      <c r="C164" s="11" t="n"/>
      <c r="D164" s="11" t="n"/>
      <c r="E164" s="11" t="n"/>
      <c r="F164" s="10">
        <f>IF(AND($A164="",$B164="",$C164=""),"",IF($A164="","⚠ Falta hito",IF(ISNA(MATCH($C164,Cat_Nombre,0)),"⚠ Categoría inválida","OK")))</f>
        <v/>
      </c>
      <c r="G164" s="16">
        <f>IF($F164&lt;&gt;"OK","",IF(UPPER(TRIM($D164))="NO",INDEX(Cat_HMax,MATCH($C164,Cat_Nombre,0)),INDEX(Cat_HMin,MATCH($C164,Cat_Nombre,0))))</f>
        <v/>
      </c>
      <c r="H164" s="16">
        <f>IF($F164&lt;&gt;"OK","",INDEX(Cat_HMax,MATCH($C164,Cat_Nombre,0)))</f>
        <v/>
      </c>
      <c r="I164" s="16">
        <f>IF($F164&lt;&gt;"OK","",(G164+H164)/2)</f>
        <v/>
      </c>
      <c r="J164" s="16">
        <f>IF($F164&lt;&gt;"OK","",G164/HorasDia)</f>
        <v/>
      </c>
      <c r="K164" s="16">
        <f>IF($F164&lt;&gt;"OK","",I164/HorasDia)</f>
        <v/>
      </c>
      <c r="L164" s="16">
        <f>IF($F164&lt;&gt;"OK","",H164/HorasDia)</f>
        <v/>
      </c>
      <c r="M164" s="17">
        <f>IF($F164&lt;&gt;"OK","",IF(UPPER(TRIM($D164))="NO",INDEX(Cat_TMax,MATCH($C164,Cat_Nombre,0)),INDEX(Cat_TMin,MATCH($C164,Cat_Nombre,0))))</f>
        <v/>
      </c>
      <c r="N164" s="17">
        <f>IF($F164&lt;&gt;"OK","",INDEX(Cat_TMax,MATCH($C164,Cat_Nombre,0)))</f>
        <v/>
      </c>
      <c r="O164" s="18">
        <f>IF($F164&lt;&gt;"OK","",INDEX(Cat_POpus,MATCH($C164,Cat_Nombre,0)))</f>
        <v/>
      </c>
      <c r="P164" s="19">
        <f>IF($F164&lt;&gt;"OK","",M164/1000000*((1-O164)*UsdM_Sonnet+O164*UsdM_Opus))</f>
        <v/>
      </c>
      <c r="Q164" s="19">
        <f>IF($F164&lt;&gt;"OK","",N164/1000000*((1-O164)*UsdM_Sonnet+O164*UsdM_Opus))</f>
        <v/>
      </c>
      <c r="R164" s="19">
        <f>IF($F164&lt;&gt;"OK","",G164*TarifaHora)</f>
        <v/>
      </c>
      <c r="S164" s="19">
        <f>IF($F164&lt;&gt;"OK","",H164*TarifaHora)</f>
        <v/>
      </c>
      <c r="T164" s="10">
        <f>IF($F164&lt;&gt;"OK","",IF(COUNTIFS($A$2:$A164,$A164,$F$2:$F164,"OK")=1,MAX($T$1:$T163)+1,""))</f>
        <v/>
      </c>
    </row>
    <row r="165">
      <c r="A165" s="11" t="n"/>
      <c r="B165" s="11" t="n"/>
      <c r="C165" s="11" t="n"/>
      <c r="D165" s="11" t="n"/>
      <c r="E165" s="11" t="n"/>
      <c r="F165" s="10">
        <f>IF(AND($A165="",$B165="",$C165=""),"",IF($A165="","⚠ Falta hito",IF(ISNA(MATCH($C165,Cat_Nombre,0)),"⚠ Categoría inválida","OK")))</f>
        <v/>
      </c>
      <c r="G165" s="16">
        <f>IF($F165&lt;&gt;"OK","",IF(UPPER(TRIM($D165))="NO",INDEX(Cat_HMax,MATCH($C165,Cat_Nombre,0)),INDEX(Cat_HMin,MATCH($C165,Cat_Nombre,0))))</f>
        <v/>
      </c>
      <c r="H165" s="16">
        <f>IF($F165&lt;&gt;"OK","",INDEX(Cat_HMax,MATCH($C165,Cat_Nombre,0)))</f>
        <v/>
      </c>
      <c r="I165" s="16">
        <f>IF($F165&lt;&gt;"OK","",(G165+H165)/2)</f>
        <v/>
      </c>
      <c r="J165" s="16">
        <f>IF($F165&lt;&gt;"OK","",G165/HorasDia)</f>
        <v/>
      </c>
      <c r="K165" s="16">
        <f>IF($F165&lt;&gt;"OK","",I165/HorasDia)</f>
        <v/>
      </c>
      <c r="L165" s="16">
        <f>IF($F165&lt;&gt;"OK","",H165/HorasDia)</f>
        <v/>
      </c>
      <c r="M165" s="17">
        <f>IF($F165&lt;&gt;"OK","",IF(UPPER(TRIM($D165))="NO",INDEX(Cat_TMax,MATCH($C165,Cat_Nombre,0)),INDEX(Cat_TMin,MATCH($C165,Cat_Nombre,0))))</f>
        <v/>
      </c>
      <c r="N165" s="17">
        <f>IF($F165&lt;&gt;"OK","",INDEX(Cat_TMax,MATCH($C165,Cat_Nombre,0)))</f>
        <v/>
      </c>
      <c r="O165" s="18">
        <f>IF($F165&lt;&gt;"OK","",INDEX(Cat_POpus,MATCH($C165,Cat_Nombre,0)))</f>
        <v/>
      </c>
      <c r="P165" s="19">
        <f>IF($F165&lt;&gt;"OK","",M165/1000000*((1-O165)*UsdM_Sonnet+O165*UsdM_Opus))</f>
        <v/>
      </c>
      <c r="Q165" s="19">
        <f>IF($F165&lt;&gt;"OK","",N165/1000000*((1-O165)*UsdM_Sonnet+O165*UsdM_Opus))</f>
        <v/>
      </c>
      <c r="R165" s="19">
        <f>IF($F165&lt;&gt;"OK","",G165*TarifaHora)</f>
        <v/>
      </c>
      <c r="S165" s="19">
        <f>IF($F165&lt;&gt;"OK","",H165*TarifaHora)</f>
        <v/>
      </c>
      <c r="T165" s="10">
        <f>IF($F165&lt;&gt;"OK","",IF(COUNTIFS($A$2:$A165,$A165,$F$2:$F165,"OK")=1,MAX($T$1:$T164)+1,""))</f>
        <v/>
      </c>
    </row>
    <row r="166">
      <c r="A166" s="11" t="n"/>
      <c r="B166" s="11" t="n"/>
      <c r="C166" s="11" t="n"/>
      <c r="D166" s="11" t="n"/>
      <c r="E166" s="11" t="n"/>
      <c r="F166" s="10">
        <f>IF(AND($A166="",$B166="",$C166=""),"",IF($A166="","⚠ Falta hito",IF(ISNA(MATCH($C166,Cat_Nombre,0)),"⚠ Categoría inválida","OK")))</f>
        <v/>
      </c>
      <c r="G166" s="16">
        <f>IF($F166&lt;&gt;"OK","",IF(UPPER(TRIM($D166))="NO",INDEX(Cat_HMax,MATCH($C166,Cat_Nombre,0)),INDEX(Cat_HMin,MATCH($C166,Cat_Nombre,0))))</f>
        <v/>
      </c>
      <c r="H166" s="16">
        <f>IF($F166&lt;&gt;"OK","",INDEX(Cat_HMax,MATCH($C166,Cat_Nombre,0)))</f>
        <v/>
      </c>
      <c r="I166" s="16">
        <f>IF($F166&lt;&gt;"OK","",(G166+H166)/2)</f>
        <v/>
      </c>
      <c r="J166" s="16">
        <f>IF($F166&lt;&gt;"OK","",G166/HorasDia)</f>
        <v/>
      </c>
      <c r="K166" s="16">
        <f>IF($F166&lt;&gt;"OK","",I166/HorasDia)</f>
        <v/>
      </c>
      <c r="L166" s="16">
        <f>IF($F166&lt;&gt;"OK","",H166/HorasDia)</f>
        <v/>
      </c>
      <c r="M166" s="17">
        <f>IF($F166&lt;&gt;"OK","",IF(UPPER(TRIM($D166))="NO",INDEX(Cat_TMax,MATCH($C166,Cat_Nombre,0)),INDEX(Cat_TMin,MATCH($C166,Cat_Nombre,0))))</f>
        <v/>
      </c>
      <c r="N166" s="17">
        <f>IF($F166&lt;&gt;"OK","",INDEX(Cat_TMax,MATCH($C166,Cat_Nombre,0)))</f>
        <v/>
      </c>
      <c r="O166" s="18">
        <f>IF($F166&lt;&gt;"OK","",INDEX(Cat_POpus,MATCH($C166,Cat_Nombre,0)))</f>
        <v/>
      </c>
      <c r="P166" s="19">
        <f>IF($F166&lt;&gt;"OK","",M166/1000000*((1-O166)*UsdM_Sonnet+O166*UsdM_Opus))</f>
        <v/>
      </c>
      <c r="Q166" s="19">
        <f>IF($F166&lt;&gt;"OK","",N166/1000000*((1-O166)*UsdM_Sonnet+O166*UsdM_Opus))</f>
        <v/>
      </c>
      <c r="R166" s="19">
        <f>IF($F166&lt;&gt;"OK","",G166*TarifaHora)</f>
        <v/>
      </c>
      <c r="S166" s="19">
        <f>IF($F166&lt;&gt;"OK","",H166*TarifaHora)</f>
        <v/>
      </c>
      <c r="T166" s="10">
        <f>IF($F166&lt;&gt;"OK","",IF(COUNTIFS($A$2:$A166,$A166,$F$2:$F166,"OK")=1,MAX($T$1:$T165)+1,""))</f>
        <v/>
      </c>
    </row>
    <row r="167">
      <c r="A167" s="11" t="n"/>
      <c r="B167" s="11" t="n"/>
      <c r="C167" s="11" t="n"/>
      <c r="D167" s="11" t="n"/>
      <c r="E167" s="11" t="n"/>
      <c r="F167" s="10">
        <f>IF(AND($A167="",$B167="",$C167=""),"",IF($A167="","⚠ Falta hito",IF(ISNA(MATCH($C167,Cat_Nombre,0)),"⚠ Categoría inválida","OK")))</f>
        <v/>
      </c>
      <c r="G167" s="16">
        <f>IF($F167&lt;&gt;"OK","",IF(UPPER(TRIM($D167))="NO",INDEX(Cat_HMax,MATCH($C167,Cat_Nombre,0)),INDEX(Cat_HMin,MATCH($C167,Cat_Nombre,0))))</f>
        <v/>
      </c>
      <c r="H167" s="16">
        <f>IF($F167&lt;&gt;"OK","",INDEX(Cat_HMax,MATCH($C167,Cat_Nombre,0)))</f>
        <v/>
      </c>
      <c r="I167" s="16">
        <f>IF($F167&lt;&gt;"OK","",(G167+H167)/2)</f>
        <v/>
      </c>
      <c r="J167" s="16">
        <f>IF($F167&lt;&gt;"OK","",G167/HorasDia)</f>
        <v/>
      </c>
      <c r="K167" s="16">
        <f>IF($F167&lt;&gt;"OK","",I167/HorasDia)</f>
        <v/>
      </c>
      <c r="L167" s="16">
        <f>IF($F167&lt;&gt;"OK","",H167/HorasDia)</f>
        <v/>
      </c>
      <c r="M167" s="17">
        <f>IF($F167&lt;&gt;"OK","",IF(UPPER(TRIM($D167))="NO",INDEX(Cat_TMax,MATCH($C167,Cat_Nombre,0)),INDEX(Cat_TMin,MATCH($C167,Cat_Nombre,0))))</f>
        <v/>
      </c>
      <c r="N167" s="17">
        <f>IF($F167&lt;&gt;"OK","",INDEX(Cat_TMax,MATCH($C167,Cat_Nombre,0)))</f>
        <v/>
      </c>
      <c r="O167" s="18">
        <f>IF($F167&lt;&gt;"OK","",INDEX(Cat_POpus,MATCH($C167,Cat_Nombre,0)))</f>
        <v/>
      </c>
      <c r="P167" s="19">
        <f>IF($F167&lt;&gt;"OK","",M167/1000000*((1-O167)*UsdM_Sonnet+O167*UsdM_Opus))</f>
        <v/>
      </c>
      <c r="Q167" s="19">
        <f>IF($F167&lt;&gt;"OK","",N167/1000000*((1-O167)*UsdM_Sonnet+O167*UsdM_Opus))</f>
        <v/>
      </c>
      <c r="R167" s="19">
        <f>IF($F167&lt;&gt;"OK","",G167*TarifaHora)</f>
        <v/>
      </c>
      <c r="S167" s="19">
        <f>IF($F167&lt;&gt;"OK","",H167*TarifaHora)</f>
        <v/>
      </c>
      <c r="T167" s="10">
        <f>IF($F167&lt;&gt;"OK","",IF(COUNTIFS($A$2:$A167,$A167,$F$2:$F167,"OK")=1,MAX($T$1:$T166)+1,""))</f>
        <v/>
      </c>
    </row>
    <row r="168">
      <c r="A168" s="11" t="n"/>
      <c r="B168" s="11" t="n"/>
      <c r="C168" s="11" t="n"/>
      <c r="D168" s="11" t="n"/>
      <c r="E168" s="11" t="n"/>
      <c r="F168" s="10">
        <f>IF(AND($A168="",$B168="",$C168=""),"",IF($A168="","⚠ Falta hito",IF(ISNA(MATCH($C168,Cat_Nombre,0)),"⚠ Categoría inválida","OK")))</f>
        <v/>
      </c>
      <c r="G168" s="16">
        <f>IF($F168&lt;&gt;"OK","",IF(UPPER(TRIM($D168))="NO",INDEX(Cat_HMax,MATCH($C168,Cat_Nombre,0)),INDEX(Cat_HMin,MATCH($C168,Cat_Nombre,0))))</f>
        <v/>
      </c>
      <c r="H168" s="16">
        <f>IF($F168&lt;&gt;"OK","",INDEX(Cat_HMax,MATCH($C168,Cat_Nombre,0)))</f>
        <v/>
      </c>
      <c r="I168" s="16">
        <f>IF($F168&lt;&gt;"OK","",(G168+H168)/2)</f>
        <v/>
      </c>
      <c r="J168" s="16">
        <f>IF($F168&lt;&gt;"OK","",G168/HorasDia)</f>
        <v/>
      </c>
      <c r="K168" s="16">
        <f>IF($F168&lt;&gt;"OK","",I168/HorasDia)</f>
        <v/>
      </c>
      <c r="L168" s="16">
        <f>IF($F168&lt;&gt;"OK","",H168/HorasDia)</f>
        <v/>
      </c>
      <c r="M168" s="17">
        <f>IF($F168&lt;&gt;"OK","",IF(UPPER(TRIM($D168))="NO",INDEX(Cat_TMax,MATCH($C168,Cat_Nombre,0)),INDEX(Cat_TMin,MATCH($C168,Cat_Nombre,0))))</f>
        <v/>
      </c>
      <c r="N168" s="17">
        <f>IF($F168&lt;&gt;"OK","",INDEX(Cat_TMax,MATCH($C168,Cat_Nombre,0)))</f>
        <v/>
      </c>
      <c r="O168" s="18">
        <f>IF($F168&lt;&gt;"OK","",INDEX(Cat_POpus,MATCH($C168,Cat_Nombre,0)))</f>
        <v/>
      </c>
      <c r="P168" s="19">
        <f>IF($F168&lt;&gt;"OK","",M168/1000000*((1-O168)*UsdM_Sonnet+O168*UsdM_Opus))</f>
        <v/>
      </c>
      <c r="Q168" s="19">
        <f>IF($F168&lt;&gt;"OK","",N168/1000000*((1-O168)*UsdM_Sonnet+O168*UsdM_Opus))</f>
        <v/>
      </c>
      <c r="R168" s="19">
        <f>IF($F168&lt;&gt;"OK","",G168*TarifaHora)</f>
        <v/>
      </c>
      <c r="S168" s="19">
        <f>IF($F168&lt;&gt;"OK","",H168*TarifaHora)</f>
        <v/>
      </c>
      <c r="T168" s="10">
        <f>IF($F168&lt;&gt;"OK","",IF(COUNTIFS($A$2:$A168,$A168,$F$2:$F168,"OK")=1,MAX($T$1:$T167)+1,""))</f>
        <v/>
      </c>
    </row>
    <row r="169">
      <c r="A169" s="11" t="n"/>
      <c r="B169" s="11" t="n"/>
      <c r="C169" s="11" t="n"/>
      <c r="D169" s="11" t="n"/>
      <c r="E169" s="11" t="n"/>
      <c r="F169" s="10">
        <f>IF(AND($A169="",$B169="",$C169=""),"",IF($A169="","⚠ Falta hito",IF(ISNA(MATCH($C169,Cat_Nombre,0)),"⚠ Categoría inválida","OK")))</f>
        <v/>
      </c>
      <c r="G169" s="16">
        <f>IF($F169&lt;&gt;"OK","",IF(UPPER(TRIM($D169))="NO",INDEX(Cat_HMax,MATCH($C169,Cat_Nombre,0)),INDEX(Cat_HMin,MATCH($C169,Cat_Nombre,0))))</f>
        <v/>
      </c>
      <c r="H169" s="16">
        <f>IF($F169&lt;&gt;"OK","",INDEX(Cat_HMax,MATCH($C169,Cat_Nombre,0)))</f>
        <v/>
      </c>
      <c r="I169" s="16">
        <f>IF($F169&lt;&gt;"OK","",(G169+H169)/2)</f>
        <v/>
      </c>
      <c r="J169" s="16">
        <f>IF($F169&lt;&gt;"OK","",G169/HorasDia)</f>
        <v/>
      </c>
      <c r="K169" s="16">
        <f>IF($F169&lt;&gt;"OK","",I169/HorasDia)</f>
        <v/>
      </c>
      <c r="L169" s="16">
        <f>IF($F169&lt;&gt;"OK","",H169/HorasDia)</f>
        <v/>
      </c>
      <c r="M169" s="17">
        <f>IF($F169&lt;&gt;"OK","",IF(UPPER(TRIM($D169))="NO",INDEX(Cat_TMax,MATCH($C169,Cat_Nombre,0)),INDEX(Cat_TMin,MATCH($C169,Cat_Nombre,0))))</f>
        <v/>
      </c>
      <c r="N169" s="17">
        <f>IF($F169&lt;&gt;"OK","",INDEX(Cat_TMax,MATCH($C169,Cat_Nombre,0)))</f>
        <v/>
      </c>
      <c r="O169" s="18">
        <f>IF($F169&lt;&gt;"OK","",INDEX(Cat_POpus,MATCH($C169,Cat_Nombre,0)))</f>
        <v/>
      </c>
      <c r="P169" s="19">
        <f>IF($F169&lt;&gt;"OK","",M169/1000000*((1-O169)*UsdM_Sonnet+O169*UsdM_Opus))</f>
        <v/>
      </c>
      <c r="Q169" s="19">
        <f>IF($F169&lt;&gt;"OK","",N169/1000000*((1-O169)*UsdM_Sonnet+O169*UsdM_Opus))</f>
        <v/>
      </c>
      <c r="R169" s="19">
        <f>IF($F169&lt;&gt;"OK","",G169*TarifaHora)</f>
        <v/>
      </c>
      <c r="S169" s="19">
        <f>IF($F169&lt;&gt;"OK","",H169*TarifaHora)</f>
        <v/>
      </c>
      <c r="T169" s="10">
        <f>IF($F169&lt;&gt;"OK","",IF(COUNTIFS($A$2:$A169,$A169,$F$2:$F169,"OK")=1,MAX($T$1:$T168)+1,""))</f>
        <v/>
      </c>
    </row>
    <row r="170">
      <c r="A170" s="11" t="n"/>
      <c r="B170" s="11" t="n"/>
      <c r="C170" s="11" t="n"/>
      <c r="D170" s="11" t="n"/>
      <c r="E170" s="11" t="n"/>
      <c r="F170" s="10">
        <f>IF(AND($A170="",$B170="",$C170=""),"",IF($A170="","⚠ Falta hito",IF(ISNA(MATCH($C170,Cat_Nombre,0)),"⚠ Categoría inválida","OK")))</f>
        <v/>
      </c>
      <c r="G170" s="16">
        <f>IF($F170&lt;&gt;"OK","",IF(UPPER(TRIM($D170))="NO",INDEX(Cat_HMax,MATCH($C170,Cat_Nombre,0)),INDEX(Cat_HMin,MATCH($C170,Cat_Nombre,0))))</f>
        <v/>
      </c>
      <c r="H170" s="16">
        <f>IF($F170&lt;&gt;"OK","",INDEX(Cat_HMax,MATCH($C170,Cat_Nombre,0)))</f>
        <v/>
      </c>
      <c r="I170" s="16">
        <f>IF($F170&lt;&gt;"OK","",(G170+H170)/2)</f>
        <v/>
      </c>
      <c r="J170" s="16">
        <f>IF($F170&lt;&gt;"OK","",G170/HorasDia)</f>
        <v/>
      </c>
      <c r="K170" s="16">
        <f>IF($F170&lt;&gt;"OK","",I170/HorasDia)</f>
        <v/>
      </c>
      <c r="L170" s="16">
        <f>IF($F170&lt;&gt;"OK","",H170/HorasDia)</f>
        <v/>
      </c>
      <c r="M170" s="17">
        <f>IF($F170&lt;&gt;"OK","",IF(UPPER(TRIM($D170))="NO",INDEX(Cat_TMax,MATCH($C170,Cat_Nombre,0)),INDEX(Cat_TMin,MATCH($C170,Cat_Nombre,0))))</f>
        <v/>
      </c>
      <c r="N170" s="17">
        <f>IF($F170&lt;&gt;"OK","",INDEX(Cat_TMax,MATCH($C170,Cat_Nombre,0)))</f>
        <v/>
      </c>
      <c r="O170" s="18">
        <f>IF($F170&lt;&gt;"OK","",INDEX(Cat_POpus,MATCH($C170,Cat_Nombre,0)))</f>
        <v/>
      </c>
      <c r="P170" s="19">
        <f>IF($F170&lt;&gt;"OK","",M170/1000000*((1-O170)*UsdM_Sonnet+O170*UsdM_Opus))</f>
        <v/>
      </c>
      <c r="Q170" s="19">
        <f>IF($F170&lt;&gt;"OK","",N170/1000000*((1-O170)*UsdM_Sonnet+O170*UsdM_Opus))</f>
        <v/>
      </c>
      <c r="R170" s="19">
        <f>IF($F170&lt;&gt;"OK","",G170*TarifaHora)</f>
        <v/>
      </c>
      <c r="S170" s="19">
        <f>IF($F170&lt;&gt;"OK","",H170*TarifaHora)</f>
        <v/>
      </c>
      <c r="T170" s="10">
        <f>IF($F170&lt;&gt;"OK","",IF(COUNTIFS($A$2:$A170,$A170,$F$2:$F170,"OK")=1,MAX($T$1:$T169)+1,""))</f>
        <v/>
      </c>
    </row>
    <row r="171">
      <c r="A171" s="11" t="n"/>
      <c r="B171" s="11" t="n"/>
      <c r="C171" s="11" t="n"/>
      <c r="D171" s="11" t="n"/>
      <c r="E171" s="11" t="n"/>
      <c r="F171" s="10">
        <f>IF(AND($A171="",$B171="",$C171=""),"",IF($A171="","⚠ Falta hito",IF(ISNA(MATCH($C171,Cat_Nombre,0)),"⚠ Categoría inválida","OK")))</f>
        <v/>
      </c>
      <c r="G171" s="16">
        <f>IF($F171&lt;&gt;"OK","",IF(UPPER(TRIM($D171))="NO",INDEX(Cat_HMax,MATCH($C171,Cat_Nombre,0)),INDEX(Cat_HMin,MATCH($C171,Cat_Nombre,0))))</f>
        <v/>
      </c>
      <c r="H171" s="16">
        <f>IF($F171&lt;&gt;"OK","",INDEX(Cat_HMax,MATCH($C171,Cat_Nombre,0)))</f>
        <v/>
      </c>
      <c r="I171" s="16">
        <f>IF($F171&lt;&gt;"OK","",(G171+H171)/2)</f>
        <v/>
      </c>
      <c r="J171" s="16">
        <f>IF($F171&lt;&gt;"OK","",G171/HorasDia)</f>
        <v/>
      </c>
      <c r="K171" s="16">
        <f>IF($F171&lt;&gt;"OK","",I171/HorasDia)</f>
        <v/>
      </c>
      <c r="L171" s="16">
        <f>IF($F171&lt;&gt;"OK","",H171/HorasDia)</f>
        <v/>
      </c>
      <c r="M171" s="17">
        <f>IF($F171&lt;&gt;"OK","",IF(UPPER(TRIM($D171))="NO",INDEX(Cat_TMax,MATCH($C171,Cat_Nombre,0)),INDEX(Cat_TMin,MATCH($C171,Cat_Nombre,0))))</f>
        <v/>
      </c>
      <c r="N171" s="17">
        <f>IF($F171&lt;&gt;"OK","",INDEX(Cat_TMax,MATCH($C171,Cat_Nombre,0)))</f>
        <v/>
      </c>
      <c r="O171" s="18">
        <f>IF($F171&lt;&gt;"OK","",INDEX(Cat_POpus,MATCH($C171,Cat_Nombre,0)))</f>
        <v/>
      </c>
      <c r="P171" s="19">
        <f>IF($F171&lt;&gt;"OK","",M171/1000000*((1-O171)*UsdM_Sonnet+O171*UsdM_Opus))</f>
        <v/>
      </c>
      <c r="Q171" s="19">
        <f>IF($F171&lt;&gt;"OK","",N171/1000000*((1-O171)*UsdM_Sonnet+O171*UsdM_Opus))</f>
        <v/>
      </c>
      <c r="R171" s="19">
        <f>IF($F171&lt;&gt;"OK","",G171*TarifaHora)</f>
        <v/>
      </c>
      <c r="S171" s="19">
        <f>IF($F171&lt;&gt;"OK","",H171*TarifaHora)</f>
        <v/>
      </c>
      <c r="T171" s="10">
        <f>IF($F171&lt;&gt;"OK","",IF(COUNTIFS($A$2:$A171,$A171,$F$2:$F171,"OK")=1,MAX($T$1:$T170)+1,""))</f>
        <v/>
      </c>
    </row>
    <row r="172">
      <c r="A172" s="11" t="n"/>
      <c r="B172" s="11" t="n"/>
      <c r="C172" s="11" t="n"/>
      <c r="D172" s="11" t="n"/>
      <c r="E172" s="11" t="n"/>
      <c r="F172" s="10">
        <f>IF(AND($A172="",$B172="",$C172=""),"",IF($A172="","⚠ Falta hito",IF(ISNA(MATCH($C172,Cat_Nombre,0)),"⚠ Categoría inválida","OK")))</f>
        <v/>
      </c>
      <c r="G172" s="16">
        <f>IF($F172&lt;&gt;"OK","",IF(UPPER(TRIM($D172))="NO",INDEX(Cat_HMax,MATCH($C172,Cat_Nombre,0)),INDEX(Cat_HMin,MATCH($C172,Cat_Nombre,0))))</f>
        <v/>
      </c>
      <c r="H172" s="16">
        <f>IF($F172&lt;&gt;"OK","",INDEX(Cat_HMax,MATCH($C172,Cat_Nombre,0)))</f>
        <v/>
      </c>
      <c r="I172" s="16">
        <f>IF($F172&lt;&gt;"OK","",(G172+H172)/2)</f>
        <v/>
      </c>
      <c r="J172" s="16">
        <f>IF($F172&lt;&gt;"OK","",G172/HorasDia)</f>
        <v/>
      </c>
      <c r="K172" s="16">
        <f>IF($F172&lt;&gt;"OK","",I172/HorasDia)</f>
        <v/>
      </c>
      <c r="L172" s="16">
        <f>IF($F172&lt;&gt;"OK","",H172/HorasDia)</f>
        <v/>
      </c>
      <c r="M172" s="17">
        <f>IF($F172&lt;&gt;"OK","",IF(UPPER(TRIM($D172))="NO",INDEX(Cat_TMax,MATCH($C172,Cat_Nombre,0)),INDEX(Cat_TMin,MATCH($C172,Cat_Nombre,0))))</f>
        <v/>
      </c>
      <c r="N172" s="17">
        <f>IF($F172&lt;&gt;"OK","",INDEX(Cat_TMax,MATCH($C172,Cat_Nombre,0)))</f>
        <v/>
      </c>
      <c r="O172" s="18">
        <f>IF($F172&lt;&gt;"OK","",INDEX(Cat_POpus,MATCH($C172,Cat_Nombre,0)))</f>
        <v/>
      </c>
      <c r="P172" s="19">
        <f>IF($F172&lt;&gt;"OK","",M172/1000000*((1-O172)*UsdM_Sonnet+O172*UsdM_Opus))</f>
        <v/>
      </c>
      <c r="Q172" s="19">
        <f>IF($F172&lt;&gt;"OK","",N172/1000000*((1-O172)*UsdM_Sonnet+O172*UsdM_Opus))</f>
        <v/>
      </c>
      <c r="R172" s="19">
        <f>IF($F172&lt;&gt;"OK","",G172*TarifaHora)</f>
        <v/>
      </c>
      <c r="S172" s="19">
        <f>IF($F172&lt;&gt;"OK","",H172*TarifaHora)</f>
        <v/>
      </c>
      <c r="T172" s="10">
        <f>IF($F172&lt;&gt;"OK","",IF(COUNTIFS($A$2:$A172,$A172,$F$2:$F172,"OK")=1,MAX($T$1:$T171)+1,""))</f>
        <v/>
      </c>
    </row>
    <row r="173">
      <c r="A173" s="11" t="n"/>
      <c r="B173" s="11" t="n"/>
      <c r="C173" s="11" t="n"/>
      <c r="D173" s="11" t="n"/>
      <c r="E173" s="11" t="n"/>
      <c r="F173" s="10">
        <f>IF(AND($A173="",$B173="",$C173=""),"",IF($A173="","⚠ Falta hito",IF(ISNA(MATCH($C173,Cat_Nombre,0)),"⚠ Categoría inválida","OK")))</f>
        <v/>
      </c>
      <c r="G173" s="16">
        <f>IF($F173&lt;&gt;"OK","",IF(UPPER(TRIM($D173))="NO",INDEX(Cat_HMax,MATCH($C173,Cat_Nombre,0)),INDEX(Cat_HMin,MATCH($C173,Cat_Nombre,0))))</f>
        <v/>
      </c>
      <c r="H173" s="16">
        <f>IF($F173&lt;&gt;"OK","",INDEX(Cat_HMax,MATCH($C173,Cat_Nombre,0)))</f>
        <v/>
      </c>
      <c r="I173" s="16">
        <f>IF($F173&lt;&gt;"OK","",(G173+H173)/2)</f>
        <v/>
      </c>
      <c r="J173" s="16">
        <f>IF($F173&lt;&gt;"OK","",G173/HorasDia)</f>
        <v/>
      </c>
      <c r="K173" s="16">
        <f>IF($F173&lt;&gt;"OK","",I173/HorasDia)</f>
        <v/>
      </c>
      <c r="L173" s="16">
        <f>IF($F173&lt;&gt;"OK","",H173/HorasDia)</f>
        <v/>
      </c>
      <c r="M173" s="17">
        <f>IF($F173&lt;&gt;"OK","",IF(UPPER(TRIM($D173))="NO",INDEX(Cat_TMax,MATCH($C173,Cat_Nombre,0)),INDEX(Cat_TMin,MATCH($C173,Cat_Nombre,0))))</f>
        <v/>
      </c>
      <c r="N173" s="17">
        <f>IF($F173&lt;&gt;"OK","",INDEX(Cat_TMax,MATCH($C173,Cat_Nombre,0)))</f>
        <v/>
      </c>
      <c r="O173" s="18">
        <f>IF($F173&lt;&gt;"OK","",INDEX(Cat_POpus,MATCH($C173,Cat_Nombre,0)))</f>
        <v/>
      </c>
      <c r="P173" s="19">
        <f>IF($F173&lt;&gt;"OK","",M173/1000000*((1-O173)*UsdM_Sonnet+O173*UsdM_Opus))</f>
        <v/>
      </c>
      <c r="Q173" s="19">
        <f>IF($F173&lt;&gt;"OK","",N173/1000000*((1-O173)*UsdM_Sonnet+O173*UsdM_Opus))</f>
        <v/>
      </c>
      <c r="R173" s="19">
        <f>IF($F173&lt;&gt;"OK","",G173*TarifaHora)</f>
        <v/>
      </c>
      <c r="S173" s="19">
        <f>IF($F173&lt;&gt;"OK","",H173*TarifaHora)</f>
        <v/>
      </c>
      <c r="T173" s="10">
        <f>IF($F173&lt;&gt;"OK","",IF(COUNTIFS($A$2:$A173,$A173,$F$2:$F173,"OK")=1,MAX($T$1:$T172)+1,""))</f>
        <v/>
      </c>
    </row>
    <row r="174">
      <c r="A174" s="11" t="n"/>
      <c r="B174" s="11" t="n"/>
      <c r="C174" s="11" t="n"/>
      <c r="D174" s="11" t="n"/>
      <c r="E174" s="11" t="n"/>
      <c r="F174" s="10">
        <f>IF(AND($A174="",$B174="",$C174=""),"",IF($A174="","⚠ Falta hito",IF(ISNA(MATCH($C174,Cat_Nombre,0)),"⚠ Categoría inválida","OK")))</f>
        <v/>
      </c>
      <c r="G174" s="16">
        <f>IF($F174&lt;&gt;"OK","",IF(UPPER(TRIM($D174))="NO",INDEX(Cat_HMax,MATCH($C174,Cat_Nombre,0)),INDEX(Cat_HMin,MATCH($C174,Cat_Nombre,0))))</f>
        <v/>
      </c>
      <c r="H174" s="16">
        <f>IF($F174&lt;&gt;"OK","",INDEX(Cat_HMax,MATCH($C174,Cat_Nombre,0)))</f>
        <v/>
      </c>
      <c r="I174" s="16">
        <f>IF($F174&lt;&gt;"OK","",(G174+H174)/2)</f>
        <v/>
      </c>
      <c r="J174" s="16">
        <f>IF($F174&lt;&gt;"OK","",G174/HorasDia)</f>
        <v/>
      </c>
      <c r="K174" s="16">
        <f>IF($F174&lt;&gt;"OK","",I174/HorasDia)</f>
        <v/>
      </c>
      <c r="L174" s="16">
        <f>IF($F174&lt;&gt;"OK","",H174/HorasDia)</f>
        <v/>
      </c>
      <c r="M174" s="17">
        <f>IF($F174&lt;&gt;"OK","",IF(UPPER(TRIM($D174))="NO",INDEX(Cat_TMax,MATCH($C174,Cat_Nombre,0)),INDEX(Cat_TMin,MATCH($C174,Cat_Nombre,0))))</f>
        <v/>
      </c>
      <c r="N174" s="17">
        <f>IF($F174&lt;&gt;"OK","",INDEX(Cat_TMax,MATCH($C174,Cat_Nombre,0)))</f>
        <v/>
      </c>
      <c r="O174" s="18">
        <f>IF($F174&lt;&gt;"OK","",INDEX(Cat_POpus,MATCH($C174,Cat_Nombre,0)))</f>
        <v/>
      </c>
      <c r="P174" s="19">
        <f>IF($F174&lt;&gt;"OK","",M174/1000000*((1-O174)*UsdM_Sonnet+O174*UsdM_Opus))</f>
        <v/>
      </c>
      <c r="Q174" s="19">
        <f>IF($F174&lt;&gt;"OK","",N174/1000000*((1-O174)*UsdM_Sonnet+O174*UsdM_Opus))</f>
        <v/>
      </c>
      <c r="R174" s="19">
        <f>IF($F174&lt;&gt;"OK","",G174*TarifaHora)</f>
        <v/>
      </c>
      <c r="S174" s="19">
        <f>IF($F174&lt;&gt;"OK","",H174*TarifaHora)</f>
        <v/>
      </c>
      <c r="T174" s="10">
        <f>IF($F174&lt;&gt;"OK","",IF(COUNTIFS($A$2:$A174,$A174,$F$2:$F174,"OK")=1,MAX($T$1:$T173)+1,""))</f>
        <v/>
      </c>
    </row>
    <row r="175">
      <c r="A175" s="11" t="n"/>
      <c r="B175" s="11" t="n"/>
      <c r="C175" s="11" t="n"/>
      <c r="D175" s="11" t="n"/>
      <c r="E175" s="11" t="n"/>
      <c r="F175" s="10">
        <f>IF(AND($A175="",$B175="",$C175=""),"",IF($A175="","⚠ Falta hito",IF(ISNA(MATCH($C175,Cat_Nombre,0)),"⚠ Categoría inválida","OK")))</f>
        <v/>
      </c>
      <c r="G175" s="16">
        <f>IF($F175&lt;&gt;"OK","",IF(UPPER(TRIM($D175))="NO",INDEX(Cat_HMax,MATCH($C175,Cat_Nombre,0)),INDEX(Cat_HMin,MATCH($C175,Cat_Nombre,0))))</f>
        <v/>
      </c>
      <c r="H175" s="16">
        <f>IF($F175&lt;&gt;"OK","",INDEX(Cat_HMax,MATCH($C175,Cat_Nombre,0)))</f>
        <v/>
      </c>
      <c r="I175" s="16">
        <f>IF($F175&lt;&gt;"OK","",(G175+H175)/2)</f>
        <v/>
      </c>
      <c r="J175" s="16">
        <f>IF($F175&lt;&gt;"OK","",G175/HorasDia)</f>
        <v/>
      </c>
      <c r="K175" s="16">
        <f>IF($F175&lt;&gt;"OK","",I175/HorasDia)</f>
        <v/>
      </c>
      <c r="L175" s="16">
        <f>IF($F175&lt;&gt;"OK","",H175/HorasDia)</f>
        <v/>
      </c>
      <c r="M175" s="17">
        <f>IF($F175&lt;&gt;"OK","",IF(UPPER(TRIM($D175))="NO",INDEX(Cat_TMax,MATCH($C175,Cat_Nombre,0)),INDEX(Cat_TMin,MATCH($C175,Cat_Nombre,0))))</f>
        <v/>
      </c>
      <c r="N175" s="17">
        <f>IF($F175&lt;&gt;"OK","",INDEX(Cat_TMax,MATCH($C175,Cat_Nombre,0)))</f>
        <v/>
      </c>
      <c r="O175" s="18">
        <f>IF($F175&lt;&gt;"OK","",INDEX(Cat_POpus,MATCH($C175,Cat_Nombre,0)))</f>
        <v/>
      </c>
      <c r="P175" s="19">
        <f>IF($F175&lt;&gt;"OK","",M175/1000000*((1-O175)*UsdM_Sonnet+O175*UsdM_Opus))</f>
        <v/>
      </c>
      <c r="Q175" s="19">
        <f>IF($F175&lt;&gt;"OK","",N175/1000000*((1-O175)*UsdM_Sonnet+O175*UsdM_Opus))</f>
        <v/>
      </c>
      <c r="R175" s="19">
        <f>IF($F175&lt;&gt;"OK","",G175*TarifaHora)</f>
        <v/>
      </c>
      <c r="S175" s="19">
        <f>IF($F175&lt;&gt;"OK","",H175*TarifaHora)</f>
        <v/>
      </c>
      <c r="T175" s="10">
        <f>IF($F175&lt;&gt;"OK","",IF(COUNTIFS($A$2:$A175,$A175,$F$2:$F175,"OK")=1,MAX($T$1:$T174)+1,""))</f>
        <v/>
      </c>
    </row>
    <row r="176">
      <c r="A176" s="11" t="n"/>
      <c r="B176" s="11" t="n"/>
      <c r="C176" s="11" t="n"/>
      <c r="D176" s="11" t="n"/>
      <c r="E176" s="11" t="n"/>
      <c r="F176" s="10">
        <f>IF(AND($A176="",$B176="",$C176=""),"",IF($A176="","⚠ Falta hito",IF(ISNA(MATCH($C176,Cat_Nombre,0)),"⚠ Categoría inválida","OK")))</f>
        <v/>
      </c>
      <c r="G176" s="16">
        <f>IF($F176&lt;&gt;"OK","",IF(UPPER(TRIM($D176))="NO",INDEX(Cat_HMax,MATCH($C176,Cat_Nombre,0)),INDEX(Cat_HMin,MATCH($C176,Cat_Nombre,0))))</f>
        <v/>
      </c>
      <c r="H176" s="16">
        <f>IF($F176&lt;&gt;"OK","",INDEX(Cat_HMax,MATCH($C176,Cat_Nombre,0)))</f>
        <v/>
      </c>
      <c r="I176" s="16">
        <f>IF($F176&lt;&gt;"OK","",(G176+H176)/2)</f>
        <v/>
      </c>
      <c r="J176" s="16">
        <f>IF($F176&lt;&gt;"OK","",G176/HorasDia)</f>
        <v/>
      </c>
      <c r="K176" s="16">
        <f>IF($F176&lt;&gt;"OK","",I176/HorasDia)</f>
        <v/>
      </c>
      <c r="L176" s="16">
        <f>IF($F176&lt;&gt;"OK","",H176/HorasDia)</f>
        <v/>
      </c>
      <c r="M176" s="17">
        <f>IF($F176&lt;&gt;"OK","",IF(UPPER(TRIM($D176))="NO",INDEX(Cat_TMax,MATCH($C176,Cat_Nombre,0)),INDEX(Cat_TMin,MATCH($C176,Cat_Nombre,0))))</f>
        <v/>
      </c>
      <c r="N176" s="17">
        <f>IF($F176&lt;&gt;"OK","",INDEX(Cat_TMax,MATCH($C176,Cat_Nombre,0)))</f>
        <v/>
      </c>
      <c r="O176" s="18">
        <f>IF($F176&lt;&gt;"OK","",INDEX(Cat_POpus,MATCH($C176,Cat_Nombre,0)))</f>
        <v/>
      </c>
      <c r="P176" s="19">
        <f>IF($F176&lt;&gt;"OK","",M176/1000000*((1-O176)*UsdM_Sonnet+O176*UsdM_Opus))</f>
        <v/>
      </c>
      <c r="Q176" s="19">
        <f>IF($F176&lt;&gt;"OK","",N176/1000000*((1-O176)*UsdM_Sonnet+O176*UsdM_Opus))</f>
        <v/>
      </c>
      <c r="R176" s="19">
        <f>IF($F176&lt;&gt;"OK","",G176*TarifaHora)</f>
        <v/>
      </c>
      <c r="S176" s="19">
        <f>IF($F176&lt;&gt;"OK","",H176*TarifaHora)</f>
        <v/>
      </c>
      <c r="T176" s="10">
        <f>IF($F176&lt;&gt;"OK","",IF(COUNTIFS($A$2:$A176,$A176,$F$2:$F176,"OK")=1,MAX($T$1:$T175)+1,""))</f>
        <v/>
      </c>
    </row>
    <row r="177">
      <c r="A177" s="11" t="n"/>
      <c r="B177" s="11" t="n"/>
      <c r="C177" s="11" t="n"/>
      <c r="D177" s="11" t="n"/>
      <c r="E177" s="11" t="n"/>
      <c r="F177" s="10">
        <f>IF(AND($A177="",$B177="",$C177=""),"",IF($A177="","⚠ Falta hito",IF(ISNA(MATCH($C177,Cat_Nombre,0)),"⚠ Categoría inválida","OK")))</f>
        <v/>
      </c>
      <c r="G177" s="16">
        <f>IF($F177&lt;&gt;"OK","",IF(UPPER(TRIM($D177))="NO",INDEX(Cat_HMax,MATCH($C177,Cat_Nombre,0)),INDEX(Cat_HMin,MATCH($C177,Cat_Nombre,0))))</f>
        <v/>
      </c>
      <c r="H177" s="16">
        <f>IF($F177&lt;&gt;"OK","",INDEX(Cat_HMax,MATCH($C177,Cat_Nombre,0)))</f>
        <v/>
      </c>
      <c r="I177" s="16">
        <f>IF($F177&lt;&gt;"OK","",(G177+H177)/2)</f>
        <v/>
      </c>
      <c r="J177" s="16">
        <f>IF($F177&lt;&gt;"OK","",G177/HorasDia)</f>
        <v/>
      </c>
      <c r="K177" s="16">
        <f>IF($F177&lt;&gt;"OK","",I177/HorasDia)</f>
        <v/>
      </c>
      <c r="L177" s="16">
        <f>IF($F177&lt;&gt;"OK","",H177/HorasDia)</f>
        <v/>
      </c>
      <c r="M177" s="17">
        <f>IF($F177&lt;&gt;"OK","",IF(UPPER(TRIM($D177))="NO",INDEX(Cat_TMax,MATCH($C177,Cat_Nombre,0)),INDEX(Cat_TMin,MATCH($C177,Cat_Nombre,0))))</f>
        <v/>
      </c>
      <c r="N177" s="17">
        <f>IF($F177&lt;&gt;"OK","",INDEX(Cat_TMax,MATCH($C177,Cat_Nombre,0)))</f>
        <v/>
      </c>
      <c r="O177" s="18">
        <f>IF($F177&lt;&gt;"OK","",INDEX(Cat_POpus,MATCH($C177,Cat_Nombre,0)))</f>
        <v/>
      </c>
      <c r="P177" s="19">
        <f>IF($F177&lt;&gt;"OK","",M177/1000000*((1-O177)*UsdM_Sonnet+O177*UsdM_Opus))</f>
        <v/>
      </c>
      <c r="Q177" s="19">
        <f>IF($F177&lt;&gt;"OK","",N177/1000000*((1-O177)*UsdM_Sonnet+O177*UsdM_Opus))</f>
        <v/>
      </c>
      <c r="R177" s="19">
        <f>IF($F177&lt;&gt;"OK","",G177*TarifaHora)</f>
        <v/>
      </c>
      <c r="S177" s="19">
        <f>IF($F177&lt;&gt;"OK","",H177*TarifaHora)</f>
        <v/>
      </c>
      <c r="T177" s="10">
        <f>IF($F177&lt;&gt;"OK","",IF(COUNTIFS($A$2:$A177,$A177,$F$2:$F177,"OK")=1,MAX($T$1:$T176)+1,""))</f>
        <v/>
      </c>
    </row>
    <row r="178">
      <c r="A178" s="11" t="n"/>
      <c r="B178" s="11" t="n"/>
      <c r="C178" s="11" t="n"/>
      <c r="D178" s="11" t="n"/>
      <c r="E178" s="11" t="n"/>
      <c r="F178" s="10">
        <f>IF(AND($A178="",$B178="",$C178=""),"",IF($A178="","⚠ Falta hito",IF(ISNA(MATCH($C178,Cat_Nombre,0)),"⚠ Categoría inválida","OK")))</f>
        <v/>
      </c>
      <c r="G178" s="16">
        <f>IF($F178&lt;&gt;"OK","",IF(UPPER(TRIM($D178))="NO",INDEX(Cat_HMax,MATCH($C178,Cat_Nombre,0)),INDEX(Cat_HMin,MATCH($C178,Cat_Nombre,0))))</f>
        <v/>
      </c>
      <c r="H178" s="16">
        <f>IF($F178&lt;&gt;"OK","",INDEX(Cat_HMax,MATCH($C178,Cat_Nombre,0)))</f>
        <v/>
      </c>
      <c r="I178" s="16">
        <f>IF($F178&lt;&gt;"OK","",(G178+H178)/2)</f>
        <v/>
      </c>
      <c r="J178" s="16">
        <f>IF($F178&lt;&gt;"OK","",G178/HorasDia)</f>
        <v/>
      </c>
      <c r="K178" s="16">
        <f>IF($F178&lt;&gt;"OK","",I178/HorasDia)</f>
        <v/>
      </c>
      <c r="L178" s="16">
        <f>IF($F178&lt;&gt;"OK","",H178/HorasDia)</f>
        <v/>
      </c>
      <c r="M178" s="17">
        <f>IF($F178&lt;&gt;"OK","",IF(UPPER(TRIM($D178))="NO",INDEX(Cat_TMax,MATCH($C178,Cat_Nombre,0)),INDEX(Cat_TMin,MATCH($C178,Cat_Nombre,0))))</f>
        <v/>
      </c>
      <c r="N178" s="17">
        <f>IF($F178&lt;&gt;"OK","",INDEX(Cat_TMax,MATCH($C178,Cat_Nombre,0)))</f>
        <v/>
      </c>
      <c r="O178" s="18">
        <f>IF($F178&lt;&gt;"OK","",INDEX(Cat_POpus,MATCH($C178,Cat_Nombre,0)))</f>
        <v/>
      </c>
      <c r="P178" s="19">
        <f>IF($F178&lt;&gt;"OK","",M178/1000000*((1-O178)*UsdM_Sonnet+O178*UsdM_Opus))</f>
        <v/>
      </c>
      <c r="Q178" s="19">
        <f>IF($F178&lt;&gt;"OK","",N178/1000000*((1-O178)*UsdM_Sonnet+O178*UsdM_Opus))</f>
        <v/>
      </c>
      <c r="R178" s="19">
        <f>IF($F178&lt;&gt;"OK","",G178*TarifaHora)</f>
        <v/>
      </c>
      <c r="S178" s="19">
        <f>IF($F178&lt;&gt;"OK","",H178*TarifaHora)</f>
        <v/>
      </c>
      <c r="T178" s="10">
        <f>IF($F178&lt;&gt;"OK","",IF(COUNTIFS($A$2:$A178,$A178,$F$2:$F178,"OK")=1,MAX($T$1:$T177)+1,""))</f>
        <v/>
      </c>
    </row>
    <row r="179">
      <c r="A179" s="11" t="n"/>
      <c r="B179" s="11" t="n"/>
      <c r="C179" s="11" t="n"/>
      <c r="D179" s="11" t="n"/>
      <c r="E179" s="11" t="n"/>
      <c r="F179" s="10">
        <f>IF(AND($A179="",$B179="",$C179=""),"",IF($A179="","⚠ Falta hito",IF(ISNA(MATCH($C179,Cat_Nombre,0)),"⚠ Categoría inválida","OK")))</f>
        <v/>
      </c>
      <c r="G179" s="16">
        <f>IF($F179&lt;&gt;"OK","",IF(UPPER(TRIM($D179))="NO",INDEX(Cat_HMax,MATCH($C179,Cat_Nombre,0)),INDEX(Cat_HMin,MATCH($C179,Cat_Nombre,0))))</f>
        <v/>
      </c>
      <c r="H179" s="16">
        <f>IF($F179&lt;&gt;"OK","",INDEX(Cat_HMax,MATCH($C179,Cat_Nombre,0)))</f>
        <v/>
      </c>
      <c r="I179" s="16">
        <f>IF($F179&lt;&gt;"OK","",(G179+H179)/2)</f>
        <v/>
      </c>
      <c r="J179" s="16">
        <f>IF($F179&lt;&gt;"OK","",G179/HorasDia)</f>
        <v/>
      </c>
      <c r="K179" s="16">
        <f>IF($F179&lt;&gt;"OK","",I179/HorasDia)</f>
        <v/>
      </c>
      <c r="L179" s="16">
        <f>IF($F179&lt;&gt;"OK","",H179/HorasDia)</f>
        <v/>
      </c>
      <c r="M179" s="17">
        <f>IF($F179&lt;&gt;"OK","",IF(UPPER(TRIM($D179))="NO",INDEX(Cat_TMax,MATCH($C179,Cat_Nombre,0)),INDEX(Cat_TMin,MATCH($C179,Cat_Nombre,0))))</f>
        <v/>
      </c>
      <c r="N179" s="17">
        <f>IF($F179&lt;&gt;"OK","",INDEX(Cat_TMax,MATCH($C179,Cat_Nombre,0)))</f>
        <v/>
      </c>
      <c r="O179" s="18">
        <f>IF($F179&lt;&gt;"OK","",INDEX(Cat_POpus,MATCH($C179,Cat_Nombre,0)))</f>
        <v/>
      </c>
      <c r="P179" s="19">
        <f>IF($F179&lt;&gt;"OK","",M179/1000000*((1-O179)*UsdM_Sonnet+O179*UsdM_Opus))</f>
        <v/>
      </c>
      <c r="Q179" s="19">
        <f>IF($F179&lt;&gt;"OK","",N179/1000000*((1-O179)*UsdM_Sonnet+O179*UsdM_Opus))</f>
        <v/>
      </c>
      <c r="R179" s="19">
        <f>IF($F179&lt;&gt;"OK","",G179*TarifaHora)</f>
        <v/>
      </c>
      <c r="S179" s="19">
        <f>IF($F179&lt;&gt;"OK","",H179*TarifaHora)</f>
        <v/>
      </c>
      <c r="T179" s="10">
        <f>IF($F179&lt;&gt;"OK","",IF(COUNTIFS($A$2:$A179,$A179,$F$2:$F179,"OK")=1,MAX($T$1:$T178)+1,""))</f>
        <v/>
      </c>
    </row>
    <row r="180">
      <c r="A180" s="11" t="n"/>
      <c r="B180" s="11" t="n"/>
      <c r="C180" s="11" t="n"/>
      <c r="D180" s="11" t="n"/>
      <c r="E180" s="11" t="n"/>
      <c r="F180" s="10">
        <f>IF(AND($A180="",$B180="",$C180=""),"",IF($A180="","⚠ Falta hito",IF(ISNA(MATCH($C180,Cat_Nombre,0)),"⚠ Categoría inválida","OK")))</f>
        <v/>
      </c>
      <c r="G180" s="16">
        <f>IF($F180&lt;&gt;"OK","",IF(UPPER(TRIM($D180))="NO",INDEX(Cat_HMax,MATCH($C180,Cat_Nombre,0)),INDEX(Cat_HMin,MATCH($C180,Cat_Nombre,0))))</f>
        <v/>
      </c>
      <c r="H180" s="16">
        <f>IF($F180&lt;&gt;"OK","",INDEX(Cat_HMax,MATCH($C180,Cat_Nombre,0)))</f>
        <v/>
      </c>
      <c r="I180" s="16">
        <f>IF($F180&lt;&gt;"OK","",(G180+H180)/2)</f>
        <v/>
      </c>
      <c r="J180" s="16">
        <f>IF($F180&lt;&gt;"OK","",G180/HorasDia)</f>
        <v/>
      </c>
      <c r="K180" s="16">
        <f>IF($F180&lt;&gt;"OK","",I180/HorasDia)</f>
        <v/>
      </c>
      <c r="L180" s="16">
        <f>IF($F180&lt;&gt;"OK","",H180/HorasDia)</f>
        <v/>
      </c>
      <c r="M180" s="17">
        <f>IF($F180&lt;&gt;"OK","",IF(UPPER(TRIM($D180))="NO",INDEX(Cat_TMax,MATCH($C180,Cat_Nombre,0)),INDEX(Cat_TMin,MATCH($C180,Cat_Nombre,0))))</f>
        <v/>
      </c>
      <c r="N180" s="17">
        <f>IF($F180&lt;&gt;"OK","",INDEX(Cat_TMax,MATCH($C180,Cat_Nombre,0)))</f>
        <v/>
      </c>
      <c r="O180" s="18">
        <f>IF($F180&lt;&gt;"OK","",INDEX(Cat_POpus,MATCH($C180,Cat_Nombre,0)))</f>
        <v/>
      </c>
      <c r="P180" s="19">
        <f>IF($F180&lt;&gt;"OK","",M180/1000000*((1-O180)*UsdM_Sonnet+O180*UsdM_Opus))</f>
        <v/>
      </c>
      <c r="Q180" s="19">
        <f>IF($F180&lt;&gt;"OK","",N180/1000000*((1-O180)*UsdM_Sonnet+O180*UsdM_Opus))</f>
        <v/>
      </c>
      <c r="R180" s="19">
        <f>IF($F180&lt;&gt;"OK","",G180*TarifaHora)</f>
        <v/>
      </c>
      <c r="S180" s="19">
        <f>IF($F180&lt;&gt;"OK","",H180*TarifaHora)</f>
        <v/>
      </c>
      <c r="T180" s="10">
        <f>IF($F180&lt;&gt;"OK","",IF(COUNTIFS($A$2:$A180,$A180,$F$2:$F180,"OK")=1,MAX($T$1:$T179)+1,""))</f>
        <v/>
      </c>
    </row>
    <row r="181">
      <c r="A181" s="11" t="n"/>
      <c r="B181" s="11" t="n"/>
      <c r="C181" s="11" t="n"/>
      <c r="D181" s="11" t="n"/>
      <c r="E181" s="11" t="n"/>
      <c r="F181" s="10">
        <f>IF(AND($A181="",$B181="",$C181=""),"",IF($A181="","⚠ Falta hito",IF(ISNA(MATCH($C181,Cat_Nombre,0)),"⚠ Categoría inválida","OK")))</f>
        <v/>
      </c>
      <c r="G181" s="16">
        <f>IF($F181&lt;&gt;"OK","",IF(UPPER(TRIM($D181))="NO",INDEX(Cat_HMax,MATCH($C181,Cat_Nombre,0)),INDEX(Cat_HMin,MATCH($C181,Cat_Nombre,0))))</f>
        <v/>
      </c>
      <c r="H181" s="16">
        <f>IF($F181&lt;&gt;"OK","",INDEX(Cat_HMax,MATCH($C181,Cat_Nombre,0)))</f>
        <v/>
      </c>
      <c r="I181" s="16">
        <f>IF($F181&lt;&gt;"OK","",(G181+H181)/2)</f>
        <v/>
      </c>
      <c r="J181" s="16">
        <f>IF($F181&lt;&gt;"OK","",G181/HorasDia)</f>
        <v/>
      </c>
      <c r="K181" s="16">
        <f>IF($F181&lt;&gt;"OK","",I181/HorasDia)</f>
        <v/>
      </c>
      <c r="L181" s="16">
        <f>IF($F181&lt;&gt;"OK","",H181/HorasDia)</f>
        <v/>
      </c>
      <c r="M181" s="17">
        <f>IF($F181&lt;&gt;"OK","",IF(UPPER(TRIM($D181))="NO",INDEX(Cat_TMax,MATCH($C181,Cat_Nombre,0)),INDEX(Cat_TMin,MATCH($C181,Cat_Nombre,0))))</f>
        <v/>
      </c>
      <c r="N181" s="17">
        <f>IF($F181&lt;&gt;"OK","",INDEX(Cat_TMax,MATCH($C181,Cat_Nombre,0)))</f>
        <v/>
      </c>
      <c r="O181" s="18">
        <f>IF($F181&lt;&gt;"OK","",INDEX(Cat_POpus,MATCH($C181,Cat_Nombre,0)))</f>
        <v/>
      </c>
      <c r="P181" s="19">
        <f>IF($F181&lt;&gt;"OK","",M181/1000000*((1-O181)*UsdM_Sonnet+O181*UsdM_Opus))</f>
        <v/>
      </c>
      <c r="Q181" s="19">
        <f>IF($F181&lt;&gt;"OK","",N181/1000000*((1-O181)*UsdM_Sonnet+O181*UsdM_Opus))</f>
        <v/>
      </c>
      <c r="R181" s="19">
        <f>IF($F181&lt;&gt;"OK","",G181*TarifaHora)</f>
        <v/>
      </c>
      <c r="S181" s="19">
        <f>IF($F181&lt;&gt;"OK","",H181*TarifaHora)</f>
        <v/>
      </c>
      <c r="T181" s="10">
        <f>IF($F181&lt;&gt;"OK","",IF(COUNTIFS($A$2:$A181,$A181,$F$2:$F181,"OK")=1,MAX($T$1:$T180)+1,""))</f>
        <v/>
      </c>
    </row>
    <row r="182">
      <c r="A182" s="11" t="n"/>
      <c r="B182" s="11" t="n"/>
      <c r="C182" s="11" t="n"/>
      <c r="D182" s="11" t="n"/>
      <c r="E182" s="11" t="n"/>
      <c r="F182" s="10">
        <f>IF(AND($A182="",$B182="",$C182=""),"",IF($A182="","⚠ Falta hito",IF(ISNA(MATCH($C182,Cat_Nombre,0)),"⚠ Categoría inválida","OK")))</f>
        <v/>
      </c>
      <c r="G182" s="16">
        <f>IF($F182&lt;&gt;"OK","",IF(UPPER(TRIM($D182))="NO",INDEX(Cat_HMax,MATCH($C182,Cat_Nombre,0)),INDEX(Cat_HMin,MATCH($C182,Cat_Nombre,0))))</f>
        <v/>
      </c>
      <c r="H182" s="16">
        <f>IF($F182&lt;&gt;"OK","",INDEX(Cat_HMax,MATCH($C182,Cat_Nombre,0)))</f>
        <v/>
      </c>
      <c r="I182" s="16">
        <f>IF($F182&lt;&gt;"OK","",(G182+H182)/2)</f>
        <v/>
      </c>
      <c r="J182" s="16">
        <f>IF($F182&lt;&gt;"OK","",G182/HorasDia)</f>
        <v/>
      </c>
      <c r="K182" s="16">
        <f>IF($F182&lt;&gt;"OK","",I182/HorasDia)</f>
        <v/>
      </c>
      <c r="L182" s="16">
        <f>IF($F182&lt;&gt;"OK","",H182/HorasDia)</f>
        <v/>
      </c>
      <c r="M182" s="17">
        <f>IF($F182&lt;&gt;"OK","",IF(UPPER(TRIM($D182))="NO",INDEX(Cat_TMax,MATCH($C182,Cat_Nombre,0)),INDEX(Cat_TMin,MATCH($C182,Cat_Nombre,0))))</f>
        <v/>
      </c>
      <c r="N182" s="17">
        <f>IF($F182&lt;&gt;"OK","",INDEX(Cat_TMax,MATCH($C182,Cat_Nombre,0)))</f>
        <v/>
      </c>
      <c r="O182" s="18">
        <f>IF($F182&lt;&gt;"OK","",INDEX(Cat_POpus,MATCH($C182,Cat_Nombre,0)))</f>
        <v/>
      </c>
      <c r="P182" s="19">
        <f>IF($F182&lt;&gt;"OK","",M182/1000000*((1-O182)*UsdM_Sonnet+O182*UsdM_Opus))</f>
        <v/>
      </c>
      <c r="Q182" s="19">
        <f>IF($F182&lt;&gt;"OK","",N182/1000000*((1-O182)*UsdM_Sonnet+O182*UsdM_Opus))</f>
        <v/>
      </c>
      <c r="R182" s="19">
        <f>IF($F182&lt;&gt;"OK","",G182*TarifaHora)</f>
        <v/>
      </c>
      <c r="S182" s="19">
        <f>IF($F182&lt;&gt;"OK","",H182*TarifaHora)</f>
        <v/>
      </c>
      <c r="T182" s="10">
        <f>IF($F182&lt;&gt;"OK","",IF(COUNTIFS($A$2:$A182,$A182,$F$2:$F182,"OK")=1,MAX($T$1:$T181)+1,""))</f>
        <v/>
      </c>
    </row>
    <row r="183">
      <c r="A183" s="11" t="n"/>
      <c r="B183" s="11" t="n"/>
      <c r="C183" s="11" t="n"/>
      <c r="D183" s="11" t="n"/>
      <c r="E183" s="11" t="n"/>
      <c r="F183" s="10">
        <f>IF(AND($A183="",$B183="",$C183=""),"",IF($A183="","⚠ Falta hito",IF(ISNA(MATCH($C183,Cat_Nombre,0)),"⚠ Categoría inválida","OK")))</f>
        <v/>
      </c>
      <c r="G183" s="16">
        <f>IF($F183&lt;&gt;"OK","",IF(UPPER(TRIM($D183))="NO",INDEX(Cat_HMax,MATCH($C183,Cat_Nombre,0)),INDEX(Cat_HMin,MATCH($C183,Cat_Nombre,0))))</f>
        <v/>
      </c>
      <c r="H183" s="16">
        <f>IF($F183&lt;&gt;"OK","",INDEX(Cat_HMax,MATCH($C183,Cat_Nombre,0)))</f>
        <v/>
      </c>
      <c r="I183" s="16">
        <f>IF($F183&lt;&gt;"OK","",(G183+H183)/2)</f>
        <v/>
      </c>
      <c r="J183" s="16">
        <f>IF($F183&lt;&gt;"OK","",G183/HorasDia)</f>
        <v/>
      </c>
      <c r="K183" s="16">
        <f>IF($F183&lt;&gt;"OK","",I183/HorasDia)</f>
        <v/>
      </c>
      <c r="L183" s="16">
        <f>IF($F183&lt;&gt;"OK","",H183/HorasDia)</f>
        <v/>
      </c>
      <c r="M183" s="17">
        <f>IF($F183&lt;&gt;"OK","",IF(UPPER(TRIM($D183))="NO",INDEX(Cat_TMax,MATCH($C183,Cat_Nombre,0)),INDEX(Cat_TMin,MATCH($C183,Cat_Nombre,0))))</f>
        <v/>
      </c>
      <c r="N183" s="17">
        <f>IF($F183&lt;&gt;"OK","",INDEX(Cat_TMax,MATCH($C183,Cat_Nombre,0)))</f>
        <v/>
      </c>
      <c r="O183" s="18">
        <f>IF($F183&lt;&gt;"OK","",INDEX(Cat_POpus,MATCH($C183,Cat_Nombre,0)))</f>
        <v/>
      </c>
      <c r="P183" s="19">
        <f>IF($F183&lt;&gt;"OK","",M183/1000000*((1-O183)*UsdM_Sonnet+O183*UsdM_Opus))</f>
        <v/>
      </c>
      <c r="Q183" s="19">
        <f>IF($F183&lt;&gt;"OK","",N183/1000000*((1-O183)*UsdM_Sonnet+O183*UsdM_Opus))</f>
        <v/>
      </c>
      <c r="R183" s="19">
        <f>IF($F183&lt;&gt;"OK","",G183*TarifaHora)</f>
        <v/>
      </c>
      <c r="S183" s="19">
        <f>IF($F183&lt;&gt;"OK","",H183*TarifaHora)</f>
        <v/>
      </c>
      <c r="T183" s="10">
        <f>IF($F183&lt;&gt;"OK","",IF(COUNTIFS($A$2:$A183,$A183,$F$2:$F183,"OK")=1,MAX($T$1:$T182)+1,""))</f>
        <v/>
      </c>
    </row>
    <row r="184">
      <c r="A184" s="11" t="n"/>
      <c r="B184" s="11" t="n"/>
      <c r="C184" s="11" t="n"/>
      <c r="D184" s="11" t="n"/>
      <c r="E184" s="11" t="n"/>
      <c r="F184" s="10">
        <f>IF(AND($A184="",$B184="",$C184=""),"",IF($A184="","⚠ Falta hito",IF(ISNA(MATCH($C184,Cat_Nombre,0)),"⚠ Categoría inválida","OK")))</f>
        <v/>
      </c>
      <c r="G184" s="16">
        <f>IF($F184&lt;&gt;"OK","",IF(UPPER(TRIM($D184))="NO",INDEX(Cat_HMax,MATCH($C184,Cat_Nombre,0)),INDEX(Cat_HMin,MATCH($C184,Cat_Nombre,0))))</f>
        <v/>
      </c>
      <c r="H184" s="16">
        <f>IF($F184&lt;&gt;"OK","",INDEX(Cat_HMax,MATCH($C184,Cat_Nombre,0)))</f>
        <v/>
      </c>
      <c r="I184" s="16">
        <f>IF($F184&lt;&gt;"OK","",(G184+H184)/2)</f>
        <v/>
      </c>
      <c r="J184" s="16">
        <f>IF($F184&lt;&gt;"OK","",G184/HorasDia)</f>
        <v/>
      </c>
      <c r="K184" s="16">
        <f>IF($F184&lt;&gt;"OK","",I184/HorasDia)</f>
        <v/>
      </c>
      <c r="L184" s="16">
        <f>IF($F184&lt;&gt;"OK","",H184/HorasDia)</f>
        <v/>
      </c>
      <c r="M184" s="17">
        <f>IF($F184&lt;&gt;"OK","",IF(UPPER(TRIM($D184))="NO",INDEX(Cat_TMax,MATCH($C184,Cat_Nombre,0)),INDEX(Cat_TMin,MATCH($C184,Cat_Nombre,0))))</f>
        <v/>
      </c>
      <c r="N184" s="17">
        <f>IF($F184&lt;&gt;"OK","",INDEX(Cat_TMax,MATCH($C184,Cat_Nombre,0)))</f>
        <v/>
      </c>
      <c r="O184" s="18">
        <f>IF($F184&lt;&gt;"OK","",INDEX(Cat_POpus,MATCH($C184,Cat_Nombre,0)))</f>
        <v/>
      </c>
      <c r="P184" s="19">
        <f>IF($F184&lt;&gt;"OK","",M184/1000000*((1-O184)*UsdM_Sonnet+O184*UsdM_Opus))</f>
        <v/>
      </c>
      <c r="Q184" s="19">
        <f>IF($F184&lt;&gt;"OK","",N184/1000000*((1-O184)*UsdM_Sonnet+O184*UsdM_Opus))</f>
        <v/>
      </c>
      <c r="R184" s="19">
        <f>IF($F184&lt;&gt;"OK","",G184*TarifaHora)</f>
        <v/>
      </c>
      <c r="S184" s="19">
        <f>IF($F184&lt;&gt;"OK","",H184*TarifaHora)</f>
        <v/>
      </c>
      <c r="T184" s="10">
        <f>IF($F184&lt;&gt;"OK","",IF(COUNTIFS($A$2:$A184,$A184,$F$2:$F184,"OK")=1,MAX($T$1:$T183)+1,""))</f>
        <v/>
      </c>
    </row>
    <row r="185">
      <c r="A185" s="11" t="n"/>
      <c r="B185" s="11" t="n"/>
      <c r="C185" s="11" t="n"/>
      <c r="D185" s="11" t="n"/>
      <c r="E185" s="11" t="n"/>
      <c r="F185" s="10">
        <f>IF(AND($A185="",$B185="",$C185=""),"",IF($A185="","⚠ Falta hito",IF(ISNA(MATCH($C185,Cat_Nombre,0)),"⚠ Categoría inválida","OK")))</f>
        <v/>
      </c>
      <c r="G185" s="16">
        <f>IF($F185&lt;&gt;"OK","",IF(UPPER(TRIM($D185))="NO",INDEX(Cat_HMax,MATCH($C185,Cat_Nombre,0)),INDEX(Cat_HMin,MATCH($C185,Cat_Nombre,0))))</f>
        <v/>
      </c>
      <c r="H185" s="16">
        <f>IF($F185&lt;&gt;"OK","",INDEX(Cat_HMax,MATCH($C185,Cat_Nombre,0)))</f>
        <v/>
      </c>
      <c r="I185" s="16">
        <f>IF($F185&lt;&gt;"OK","",(G185+H185)/2)</f>
        <v/>
      </c>
      <c r="J185" s="16">
        <f>IF($F185&lt;&gt;"OK","",G185/HorasDia)</f>
        <v/>
      </c>
      <c r="K185" s="16">
        <f>IF($F185&lt;&gt;"OK","",I185/HorasDia)</f>
        <v/>
      </c>
      <c r="L185" s="16">
        <f>IF($F185&lt;&gt;"OK","",H185/HorasDia)</f>
        <v/>
      </c>
      <c r="M185" s="17">
        <f>IF($F185&lt;&gt;"OK","",IF(UPPER(TRIM($D185))="NO",INDEX(Cat_TMax,MATCH($C185,Cat_Nombre,0)),INDEX(Cat_TMin,MATCH($C185,Cat_Nombre,0))))</f>
        <v/>
      </c>
      <c r="N185" s="17">
        <f>IF($F185&lt;&gt;"OK","",INDEX(Cat_TMax,MATCH($C185,Cat_Nombre,0)))</f>
        <v/>
      </c>
      <c r="O185" s="18">
        <f>IF($F185&lt;&gt;"OK","",INDEX(Cat_POpus,MATCH($C185,Cat_Nombre,0)))</f>
        <v/>
      </c>
      <c r="P185" s="19">
        <f>IF($F185&lt;&gt;"OK","",M185/1000000*((1-O185)*UsdM_Sonnet+O185*UsdM_Opus))</f>
        <v/>
      </c>
      <c r="Q185" s="19">
        <f>IF($F185&lt;&gt;"OK","",N185/1000000*((1-O185)*UsdM_Sonnet+O185*UsdM_Opus))</f>
        <v/>
      </c>
      <c r="R185" s="19">
        <f>IF($F185&lt;&gt;"OK","",G185*TarifaHora)</f>
        <v/>
      </c>
      <c r="S185" s="19">
        <f>IF($F185&lt;&gt;"OK","",H185*TarifaHora)</f>
        <v/>
      </c>
      <c r="T185" s="10">
        <f>IF($F185&lt;&gt;"OK","",IF(COUNTIFS($A$2:$A185,$A185,$F$2:$F185,"OK")=1,MAX($T$1:$T184)+1,""))</f>
        <v/>
      </c>
    </row>
    <row r="186">
      <c r="A186" s="11" t="n"/>
      <c r="B186" s="11" t="n"/>
      <c r="C186" s="11" t="n"/>
      <c r="D186" s="11" t="n"/>
      <c r="E186" s="11" t="n"/>
      <c r="F186" s="10">
        <f>IF(AND($A186="",$B186="",$C186=""),"",IF($A186="","⚠ Falta hito",IF(ISNA(MATCH($C186,Cat_Nombre,0)),"⚠ Categoría inválida","OK")))</f>
        <v/>
      </c>
      <c r="G186" s="16">
        <f>IF($F186&lt;&gt;"OK","",IF(UPPER(TRIM($D186))="NO",INDEX(Cat_HMax,MATCH($C186,Cat_Nombre,0)),INDEX(Cat_HMin,MATCH($C186,Cat_Nombre,0))))</f>
        <v/>
      </c>
      <c r="H186" s="16">
        <f>IF($F186&lt;&gt;"OK","",INDEX(Cat_HMax,MATCH($C186,Cat_Nombre,0)))</f>
        <v/>
      </c>
      <c r="I186" s="16">
        <f>IF($F186&lt;&gt;"OK","",(G186+H186)/2)</f>
        <v/>
      </c>
      <c r="J186" s="16">
        <f>IF($F186&lt;&gt;"OK","",G186/HorasDia)</f>
        <v/>
      </c>
      <c r="K186" s="16">
        <f>IF($F186&lt;&gt;"OK","",I186/HorasDia)</f>
        <v/>
      </c>
      <c r="L186" s="16">
        <f>IF($F186&lt;&gt;"OK","",H186/HorasDia)</f>
        <v/>
      </c>
      <c r="M186" s="17">
        <f>IF($F186&lt;&gt;"OK","",IF(UPPER(TRIM($D186))="NO",INDEX(Cat_TMax,MATCH($C186,Cat_Nombre,0)),INDEX(Cat_TMin,MATCH($C186,Cat_Nombre,0))))</f>
        <v/>
      </c>
      <c r="N186" s="17">
        <f>IF($F186&lt;&gt;"OK","",INDEX(Cat_TMax,MATCH($C186,Cat_Nombre,0)))</f>
        <v/>
      </c>
      <c r="O186" s="18">
        <f>IF($F186&lt;&gt;"OK","",INDEX(Cat_POpus,MATCH($C186,Cat_Nombre,0)))</f>
        <v/>
      </c>
      <c r="P186" s="19">
        <f>IF($F186&lt;&gt;"OK","",M186/1000000*((1-O186)*UsdM_Sonnet+O186*UsdM_Opus))</f>
        <v/>
      </c>
      <c r="Q186" s="19">
        <f>IF($F186&lt;&gt;"OK","",N186/1000000*((1-O186)*UsdM_Sonnet+O186*UsdM_Opus))</f>
        <v/>
      </c>
      <c r="R186" s="19">
        <f>IF($F186&lt;&gt;"OK","",G186*TarifaHora)</f>
        <v/>
      </c>
      <c r="S186" s="19">
        <f>IF($F186&lt;&gt;"OK","",H186*TarifaHora)</f>
        <v/>
      </c>
      <c r="T186" s="10">
        <f>IF($F186&lt;&gt;"OK","",IF(COUNTIFS($A$2:$A186,$A186,$F$2:$F186,"OK")=1,MAX($T$1:$T185)+1,""))</f>
        <v/>
      </c>
    </row>
    <row r="187">
      <c r="A187" s="11" t="n"/>
      <c r="B187" s="11" t="n"/>
      <c r="C187" s="11" t="n"/>
      <c r="D187" s="11" t="n"/>
      <c r="E187" s="11" t="n"/>
      <c r="F187" s="10">
        <f>IF(AND($A187="",$B187="",$C187=""),"",IF($A187="","⚠ Falta hito",IF(ISNA(MATCH($C187,Cat_Nombre,0)),"⚠ Categoría inválida","OK")))</f>
        <v/>
      </c>
      <c r="G187" s="16">
        <f>IF($F187&lt;&gt;"OK","",IF(UPPER(TRIM($D187))="NO",INDEX(Cat_HMax,MATCH($C187,Cat_Nombre,0)),INDEX(Cat_HMin,MATCH($C187,Cat_Nombre,0))))</f>
        <v/>
      </c>
      <c r="H187" s="16">
        <f>IF($F187&lt;&gt;"OK","",INDEX(Cat_HMax,MATCH($C187,Cat_Nombre,0)))</f>
        <v/>
      </c>
      <c r="I187" s="16">
        <f>IF($F187&lt;&gt;"OK","",(G187+H187)/2)</f>
        <v/>
      </c>
      <c r="J187" s="16">
        <f>IF($F187&lt;&gt;"OK","",G187/HorasDia)</f>
        <v/>
      </c>
      <c r="K187" s="16">
        <f>IF($F187&lt;&gt;"OK","",I187/HorasDia)</f>
        <v/>
      </c>
      <c r="L187" s="16">
        <f>IF($F187&lt;&gt;"OK","",H187/HorasDia)</f>
        <v/>
      </c>
      <c r="M187" s="17">
        <f>IF($F187&lt;&gt;"OK","",IF(UPPER(TRIM($D187))="NO",INDEX(Cat_TMax,MATCH($C187,Cat_Nombre,0)),INDEX(Cat_TMin,MATCH($C187,Cat_Nombre,0))))</f>
        <v/>
      </c>
      <c r="N187" s="17">
        <f>IF($F187&lt;&gt;"OK","",INDEX(Cat_TMax,MATCH($C187,Cat_Nombre,0)))</f>
        <v/>
      </c>
      <c r="O187" s="18">
        <f>IF($F187&lt;&gt;"OK","",INDEX(Cat_POpus,MATCH($C187,Cat_Nombre,0)))</f>
        <v/>
      </c>
      <c r="P187" s="19">
        <f>IF($F187&lt;&gt;"OK","",M187/1000000*((1-O187)*UsdM_Sonnet+O187*UsdM_Opus))</f>
        <v/>
      </c>
      <c r="Q187" s="19">
        <f>IF($F187&lt;&gt;"OK","",N187/1000000*((1-O187)*UsdM_Sonnet+O187*UsdM_Opus))</f>
        <v/>
      </c>
      <c r="R187" s="19">
        <f>IF($F187&lt;&gt;"OK","",G187*TarifaHora)</f>
        <v/>
      </c>
      <c r="S187" s="19">
        <f>IF($F187&lt;&gt;"OK","",H187*TarifaHora)</f>
        <v/>
      </c>
      <c r="T187" s="10">
        <f>IF($F187&lt;&gt;"OK","",IF(COUNTIFS($A$2:$A187,$A187,$F$2:$F187,"OK")=1,MAX($T$1:$T186)+1,""))</f>
        <v/>
      </c>
    </row>
    <row r="188">
      <c r="A188" s="11" t="n"/>
      <c r="B188" s="11" t="n"/>
      <c r="C188" s="11" t="n"/>
      <c r="D188" s="11" t="n"/>
      <c r="E188" s="11" t="n"/>
      <c r="F188" s="10">
        <f>IF(AND($A188="",$B188="",$C188=""),"",IF($A188="","⚠ Falta hito",IF(ISNA(MATCH($C188,Cat_Nombre,0)),"⚠ Categoría inválida","OK")))</f>
        <v/>
      </c>
      <c r="G188" s="16">
        <f>IF($F188&lt;&gt;"OK","",IF(UPPER(TRIM($D188))="NO",INDEX(Cat_HMax,MATCH($C188,Cat_Nombre,0)),INDEX(Cat_HMin,MATCH($C188,Cat_Nombre,0))))</f>
        <v/>
      </c>
      <c r="H188" s="16">
        <f>IF($F188&lt;&gt;"OK","",INDEX(Cat_HMax,MATCH($C188,Cat_Nombre,0)))</f>
        <v/>
      </c>
      <c r="I188" s="16">
        <f>IF($F188&lt;&gt;"OK","",(G188+H188)/2)</f>
        <v/>
      </c>
      <c r="J188" s="16">
        <f>IF($F188&lt;&gt;"OK","",G188/HorasDia)</f>
        <v/>
      </c>
      <c r="K188" s="16">
        <f>IF($F188&lt;&gt;"OK","",I188/HorasDia)</f>
        <v/>
      </c>
      <c r="L188" s="16">
        <f>IF($F188&lt;&gt;"OK","",H188/HorasDia)</f>
        <v/>
      </c>
      <c r="M188" s="17">
        <f>IF($F188&lt;&gt;"OK","",IF(UPPER(TRIM($D188))="NO",INDEX(Cat_TMax,MATCH($C188,Cat_Nombre,0)),INDEX(Cat_TMin,MATCH($C188,Cat_Nombre,0))))</f>
        <v/>
      </c>
      <c r="N188" s="17">
        <f>IF($F188&lt;&gt;"OK","",INDEX(Cat_TMax,MATCH($C188,Cat_Nombre,0)))</f>
        <v/>
      </c>
      <c r="O188" s="18">
        <f>IF($F188&lt;&gt;"OK","",INDEX(Cat_POpus,MATCH($C188,Cat_Nombre,0)))</f>
        <v/>
      </c>
      <c r="P188" s="19">
        <f>IF($F188&lt;&gt;"OK","",M188/1000000*((1-O188)*UsdM_Sonnet+O188*UsdM_Opus))</f>
        <v/>
      </c>
      <c r="Q188" s="19">
        <f>IF($F188&lt;&gt;"OK","",N188/1000000*((1-O188)*UsdM_Sonnet+O188*UsdM_Opus))</f>
        <v/>
      </c>
      <c r="R188" s="19">
        <f>IF($F188&lt;&gt;"OK","",G188*TarifaHora)</f>
        <v/>
      </c>
      <c r="S188" s="19">
        <f>IF($F188&lt;&gt;"OK","",H188*TarifaHora)</f>
        <v/>
      </c>
      <c r="T188" s="10">
        <f>IF($F188&lt;&gt;"OK","",IF(COUNTIFS($A$2:$A188,$A188,$F$2:$F188,"OK")=1,MAX($T$1:$T187)+1,""))</f>
        <v/>
      </c>
    </row>
    <row r="189">
      <c r="A189" s="11" t="n"/>
      <c r="B189" s="11" t="n"/>
      <c r="C189" s="11" t="n"/>
      <c r="D189" s="11" t="n"/>
      <c r="E189" s="11" t="n"/>
      <c r="F189" s="10">
        <f>IF(AND($A189="",$B189="",$C189=""),"",IF($A189="","⚠ Falta hito",IF(ISNA(MATCH($C189,Cat_Nombre,0)),"⚠ Categoría inválida","OK")))</f>
        <v/>
      </c>
      <c r="G189" s="16">
        <f>IF($F189&lt;&gt;"OK","",IF(UPPER(TRIM($D189))="NO",INDEX(Cat_HMax,MATCH($C189,Cat_Nombre,0)),INDEX(Cat_HMin,MATCH($C189,Cat_Nombre,0))))</f>
        <v/>
      </c>
      <c r="H189" s="16">
        <f>IF($F189&lt;&gt;"OK","",INDEX(Cat_HMax,MATCH($C189,Cat_Nombre,0)))</f>
        <v/>
      </c>
      <c r="I189" s="16">
        <f>IF($F189&lt;&gt;"OK","",(G189+H189)/2)</f>
        <v/>
      </c>
      <c r="J189" s="16">
        <f>IF($F189&lt;&gt;"OK","",G189/HorasDia)</f>
        <v/>
      </c>
      <c r="K189" s="16">
        <f>IF($F189&lt;&gt;"OK","",I189/HorasDia)</f>
        <v/>
      </c>
      <c r="L189" s="16">
        <f>IF($F189&lt;&gt;"OK","",H189/HorasDia)</f>
        <v/>
      </c>
      <c r="M189" s="17">
        <f>IF($F189&lt;&gt;"OK","",IF(UPPER(TRIM($D189))="NO",INDEX(Cat_TMax,MATCH($C189,Cat_Nombre,0)),INDEX(Cat_TMin,MATCH($C189,Cat_Nombre,0))))</f>
        <v/>
      </c>
      <c r="N189" s="17">
        <f>IF($F189&lt;&gt;"OK","",INDEX(Cat_TMax,MATCH($C189,Cat_Nombre,0)))</f>
        <v/>
      </c>
      <c r="O189" s="18">
        <f>IF($F189&lt;&gt;"OK","",INDEX(Cat_POpus,MATCH($C189,Cat_Nombre,0)))</f>
        <v/>
      </c>
      <c r="P189" s="19">
        <f>IF($F189&lt;&gt;"OK","",M189/1000000*((1-O189)*UsdM_Sonnet+O189*UsdM_Opus))</f>
        <v/>
      </c>
      <c r="Q189" s="19">
        <f>IF($F189&lt;&gt;"OK","",N189/1000000*((1-O189)*UsdM_Sonnet+O189*UsdM_Opus))</f>
        <v/>
      </c>
      <c r="R189" s="19">
        <f>IF($F189&lt;&gt;"OK","",G189*TarifaHora)</f>
        <v/>
      </c>
      <c r="S189" s="19">
        <f>IF($F189&lt;&gt;"OK","",H189*TarifaHora)</f>
        <v/>
      </c>
      <c r="T189" s="10">
        <f>IF($F189&lt;&gt;"OK","",IF(COUNTIFS($A$2:$A189,$A189,$F$2:$F189,"OK")=1,MAX($T$1:$T188)+1,""))</f>
        <v/>
      </c>
    </row>
    <row r="190">
      <c r="A190" s="11" t="n"/>
      <c r="B190" s="11" t="n"/>
      <c r="C190" s="11" t="n"/>
      <c r="D190" s="11" t="n"/>
      <c r="E190" s="11" t="n"/>
      <c r="F190" s="10">
        <f>IF(AND($A190="",$B190="",$C190=""),"",IF($A190="","⚠ Falta hito",IF(ISNA(MATCH($C190,Cat_Nombre,0)),"⚠ Categoría inválida","OK")))</f>
        <v/>
      </c>
      <c r="G190" s="16">
        <f>IF($F190&lt;&gt;"OK","",IF(UPPER(TRIM($D190))="NO",INDEX(Cat_HMax,MATCH($C190,Cat_Nombre,0)),INDEX(Cat_HMin,MATCH($C190,Cat_Nombre,0))))</f>
        <v/>
      </c>
      <c r="H190" s="16">
        <f>IF($F190&lt;&gt;"OK","",INDEX(Cat_HMax,MATCH($C190,Cat_Nombre,0)))</f>
        <v/>
      </c>
      <c r="I190" s="16">
        <f>IF($F190&lt;&gt;"OK","",(G190+H190)/2)</f>
        <v/>
      </c>
      <c r="J190" s="16">
        <f>IF($F190&lt;&gt;"OK","",G190/HorasDia)</f>
        <v/>
      </c>
      <c r="K190" s="16">
        <f>IF($F190&lt;&gt;"OK","",I190/HorasDia)</f>
        <v/>
      </c>
      <c r="L190" s="16">
        <f>IF($F190&lt;&gt;"OK","",H190/HorasDia)</f>
        <v/>
      </c>
      <c r="M190" s="17">
        <f>IF($F190&lt;&gt;"OK","",IF(UPPER(TRIM($D190))="NO",INDEX(Cat_TMax,MATCH($C190,Cat_Nombre,0)),INDEX(Cat_TMin,MATCH($C190,Cat_Nombre,0))))</f>
        <v/>
      </c>
      <c r="N190" s="17">
        <f>IF($F190&lt;&gt;"OK","",INDEX(Cat_TMax,MATCH($C190,Cat_Nombre,0)))</f>
        <v/>
      </c>
      <c r="O190" s="18">
        <f>IF($F190&lt;&gt;"OK","",INDEX(Cat_POpus,MATCH($C190,Cat_Nombre,0)))</f>
        <v/>
      </c>
      <c r="P190" s="19">
        <f>IF($F190&lt;&gt;"OK","",M190/1000000*((1-O190)*UsdM_Sonnet+O190*UsdM_Opus))</f>
        <v/>
      </c>
      <c r="Q190" s="19">
        <f>IF($F190&lt;&gt;"OK","",N190/1000000*((1-O190)*UsdM_Sonnet+O190*UsdM_Opus))</f>
        <v/>
      </c>
      <c r="R190" s="19">
        <f>IF($F190&lt;&gt;"OK","",G190*TarifaHora)</f>
        <v/>
      </c>
      <c r="S190" s="19">
        <f>IF($F190&lt;&gt;"OK","",H190*TarifaHora)</f>
        <v/>
      </c>
      <c r="T190" s="10">
        <f>IF($F190&lt;&gt;"OK","",IF(COUNTIFS($A$2:$A190,$A190,$F$2:$F190,"OK")=1,MAX($T$1:$T189)+1,""))</f>
        <v/>
      </c>
    </row>
    <row r="191">
      <c r="A191" s="11" t="n"/>
      <c r="B191" s="11" t="n"/>
      <c r="C191" s="11" t="n"/>
      <c r="D191" s="11" t="n"/>
      <c r="E191" s="11" t="n"/>
      <c r="F191" s="10">
        <f>IF(AND($A191="",$B191="",$C191=""),"",IF($A191="","⚠ Falta hito",IF(ISNA(MATCH($C191,Cat_Nombre,0)),"⚠ Categoría inválida","OK")))</f>
        <v/>
      </c>
      <c r="G191" s="16">
        <f>IF($F191&lt;&gt;"OK","",IF(UPPER(TRIM($D191))="NO",INDEX(Cat_HMax,MATCH($C191,Cat_Nombre,0)),INDEX(Cat_HMin,MATCH($C191,Cat_Nombre,0))))</f>
        <v/>
      </c>
      <c r="H191" s="16">
        <f>IF($F191&lt;&gt;"OK","",INDEX(Cat_HMax,MATCH($C191,Cat_Nombre,0)))</f>
        <v/>
      </c>
      <c r="I191" s="16">
        <f>IF($F191&lt;&gt;"OK","",(G191+H191)/2)</f>
        <v/>
      </c>
      <c r="J191" s="16">
        <f>IF($F191&lt;&gt;"OK","",G191/HorasDia)</f>
        <v/>
      </c>
      <c r="K191" s="16">
        <f>IF($F191&lt;&gt;"OK","",I191/HorasDia)</f>
        <v/>
      </c>
      <c r="L191" s="16">
        <f>IF($F191&lt;&gt;"OK","",H191/HorasDia)</f>
        <v/>
      </c>
      <c r="M191" s="17">
        <f>IF($F191&lt;&gt;"OK","",IF(UPPER(TRIM($D191))="NO",INDEX(Cat_TMax,MATCH($C191,Cat_Nombre,0)),INDEX(Cat_TMin,MATCH($C191,Cat_Nombre,0))))</f>
        <v/>
      </c>
      <c r="N191" s="17">
        <f>IF($F191&lt;&gt;"OK","",INDEX(Cat_TMax,MATCH($C191,Cat_Nombre,0)))</f>
        <v/>
      </c>
      <c r="O191" s="18">
        <f>IF($F191&lt;&gt;"OK","",INDEX(Cat_POpus,MATCH($C191,Cat_Nombre,0)))</f>
        <v/>
      </c>
      <c r="P191" s="19">
        <f>IF($F191&lt;&gt;"OK","",M191/1000000*((1-O191)*UsdM_Sonnet+O191*UsdM_Opus))</f>
        <v/>
      </c>
      <c r="Q191" s="19">
        <f>IF($F191&lt;&gt;"OK","",N191/1000000*((1-O191)*UsdM_Sonnet+O191*UsdM_Opus))</f>
        <v/>
      </c>
      <c r="R191" s="19">
        <f>IF($F191&lt;&gt;"OK","",G191*TarifaHora)</f>
        <v/>
      </c>
      <c r="S191" s="19">
        <f>IF($F191&lt;&gt;"OK","",H191*TarifaHora)</f>
        <v/>
      </c>
      <c r="T191" s="10">
        <f>IF($F191&lt;&gt;"OK","",IF(COUNTIFS($A$2:$A191,$A191,$F$2:$F191,"OK")=1,MAX($T$1:$T190)+1,""))</f>
        <v/>
      </c>
    </row>
    <row r="192">
      <c r="A192" s="11" t="n"/>
      <c r="B192" s="11" t="n"/>
      <c r="C192" s="11" t="n"/>
      <c r="D192" s="11" t="n"/>
      <c r="E192" s="11" t="n"/>
      <c r="F192" s="10">
        <f>IF(AND($A192="",$B192="",$C192=""),"",IF($A192="","⚠ Falta hito",IF(ISNA(MATCH($C192,Cat_Nombre,0)),"⚠ Categoría inválida","OK")))</f>
        <v/>
      </c>
      <c r="G192" s="16">
        <f>IF($F192&lt;&gt;"OK","",IF(UPPER(TRIM($D192))="NO",INDEX(Cat_HMax,MATCH($C192,Cat_Nombre,0)),INDEX(Cat_HMin,MATCH($C192,Cat_Nombre,0))))</f>
        <v/>
      </c>
      <c r="H192" s="16">
        <f>IF($F192&lt;&gt;"OK","",INDEX(Cat_HMax,MATCH($C192,Cat_Nombre,0)))</f>
        <v/>
      </c>
      <c r="I192" s="16">
        <f>IF($F192&lt;&gt;"OK","",(G192+H192)/2)</f>
        <v/>
      </c>
      <c r="J192" s="16">
        <f>IF($F192&lt;&gt;"OK","",G192/HorasDia)</f>
        <v/>
      </c>
      <c r="K192" s="16">
        <f>IF($F192&lt;&gt;"OK","",I192/HorasDia)</f>
        <v/>
      </c>
      <c r="L192" s="16">
        <f>IF($F192&lt;&gt;"OK","",H192/HorasDia)</f>
        <v/>
      </c>
      <c r="M192" s="17">
        <f>IF($F192&lt;&gt;"OK","",IF(UPPER(TRIM($D192))="NO",INDEX(Cat_TMax,MATCH($C192,Cat_Nombre,0)),INDEX(Cat_TMin,MATCH($C192,Cat_Nombre,0))))</f>
        <v/>
      </c>
      <c r="N192" s="17">
        <f>IF($F192&lt;&gt;"OK","",INDEX(Cat_TMax,MATCH($C192,Cat_Nombre,0)))</f>
        <v/>
      </c>
      <c r="O192" s="18">
        <f>IF($F192&lt;&gt;"OK","",INDEX(Cat_POpus,MATCH($C192,Cat_Nombre,0)))</f>
        <v/>
      </c>
      <c r="P192" s="19">
        <f>IF($F192&lt;&gt;"OK","",M192/1000000*((1-O192)*UsdM_Sonnet+O192*UsdM_Opus))</f>
        <v/>
      </c>
      <c r="Q192" s="19">
        <f>IF($F192&lt;&gt;"OK","",N192/1000000*((1-O192)*UsdM_Sonnet+O192*UsdM_Opus))</f>
        <v/>
      </c>
      <c r="R192" s="19">
        <f>IF($F192&lt;&gt;"OK","",G192*TarifaHora)</f>
        <v/>
      </c>
      <c r="S192" s="19">
        <f>IF($F192&lt;&gt;"OK","",H192*TarifaHora)</f>
        <v/>
      </c>
      <c r="T192" s="10">
        <f>IF($F192&lt;&gt;"OK","",IF(COUNTIFS($A$2:$A192,$A192,$F$2:$F192,"OK")=1,MAX($T$1:$T191)+1,""))</f>
        <v/>
      </c>
    </row>
    <row r="193">
      <c r="A193" s="11" t="n"/>
      <c r="B193" s="11" t="n"/>
      <c r="C193" s="11" t="n"/>
      <c r="D193" s="11" t="n"/>
      <c r="E193" s="11" t="n"/>
      <c r="F193" s="10">
        <f>IF(AND($A193="",$B193="",$C193=""),"",IF($A193="","⚠ Falta hito",IF(ISNA(MATCH($C193,Cat_Nombre,0)),"⚠ Categoría inválida","OK")))</f>
        <v/>
      </c>
      <c r="G193" s="16">
        <f>IF($F193&lt;&gt;"OK","",IF(UPPER(TRIM($D193))="NO",INDEX(Cat_HMax,MATCH($C193,Cat_Nombre,0)),INDEX(Cat_HMin,MATCH($C193,Cat_Nombre,0))))</f>
        <v/>
      </c>
      <c r="H193" s="16">
        <f>IF($F193&lt;&gt;"OK","",INDEX(Cat_HMax,MATCH($C193,Cat_Nombre,0)))</f>
        <v/>
      </c>
      <c r="I193" s="16">
        <f>IF($F193&lt;&gt;"OK","",(G193+H193)/2)</f>
        <v/>
      </c>
      <c r="J193" s="16">
        <f>IF($F193&lt;&gt;"OK","",G193/HorasDia)</f>
        <v/>
      </c>
      <c r="K193" s="16">
        <f>IF($F193&lt;&gt;"OK","",I193/HorasDia)</f>
        <v/>
      </c>
      <c r="L193" s="16">
        <f>IF($F193&lt;&gt;"OK","",H193/HorasDia)</f>
        <v/>
      </c>
      <c r="M193" s="17">
        <f>IF($F193&lt;&gt;"OK","",IF(UPPER(TRIM($D193))="NO",INDEX(Cat_TMax,MATCH($C193,Cat_Nombre,0)),INDEX(Cat_TMin,MATCH($C193,Cat_Nombre,0))))</f>
        <v/>
      </c>
      <c r="N193" s="17">
        <f>IF($F193&lt;&gt;"OK","",INDEX(Cat_TMax,MATCH($C193,Cat_Nombre,0)))</f>
        <v/>
      </c>
      <c r="O193" s="18">
        <f>IF($F193&lt;&gt;"OK","",INDEX(Cat_POpus,MATCH($C193,Cat_Nombre,0)))</f>
        <v/>
      </c>
      <c r="P193" s="19">
        <f>IF($F193&lt;&gt;"OK","",M193/1000000*((1-O193)*UsdM_Sonnet+O193*UsdM_Opus))</f>
        <v/>
      </c>
      <c r="Q193" s="19">
        <f>IF($F193&lt;&gt;"OK","",N193/1000000*((1-O193)*UsdM_Sonnet+O193*UsdM_Opus))</f>
        <v/>
      </c>
      <c r="R193" s="19">
        <f>IF($F193&lt;&gt;"OK","",G193*TarifaHora)</f>
        <v/>
      </c>
      <c r="S193" s="19">
        <f>IF($F193&lt;&gt;"OK","",H193*TarifaHora)</f>
        <v/>
      </c>
      <c r="T193" s="10">
        <f>IF($F193&lt;&gt;"OK","",IF(COUNTIFS($A$2:$A193,$A193,$F$2:$F193,"OK")=1,MAX($T$1:$T192)+1,""))</f>
        <v/>
      </c>
    </row>
    <row r="194">
      <c r="A194" s="11" t="n"/>
      <c r="B194" s="11" t="n"/>
      <c r="C194" s="11" t="n"/>
      <c r="D194" s="11" t="n"/>
      <c r="E194" s="11" t="n"/>
      <c r="F194" s="10">
        <f>IF(AND($A194="",$B194="",$C194=""),"",IF($A194="","⚠ Falta hito",IF(ISNA(MATCH($C194,Cat_Nombre,0)),"⚠ Categoría inválida","OK")))</f>
        <v/>
      </c>
      <c r="G194" s="16">
        <f>IF($F194&lt;&gt;"OK","",IF(UPPER(TRIM($D194))="NO",INDEX(Cat_HMax,MATCH($C194,Cat_Nombre,0)),INDEX(Cat_HMin,MATCH($C194,Cat_Nombre,0))))</f>
        <v/>
      </c>
      <c r="H194" s="16">
        <f>IF($F194&lt;&gt;"OK","",INDEX(Cat_HMax,MATCH($C194,Cat_Nombre,0)))</f>
        <v/>
      </c>
      <c r="I194" s="16">
        <f>IF($F194&lt;&gt;"OK","",(G194+H194)/2)</f>
        <v/>
      </c>
      <c r="J194" s="16">
        <f>IF($F194&lt;&gt;"OK","",G194/HorasDia)</f>
        <v/>
      </c>
      <c r="K194" s="16">
        <f>IF($F194&lt;&gt;"OK","",I194/HorasDia)</f>
        <v/>
      </c>
      <c r="L194" s="16">
        <f>IF($F194&lt;&gt;"OK","",H194/HorasDia)</f>
        <v/>
      </c>
      <c r="M194" s="17">
        <f>IF($F194&lt;&gt;"OK","",IF(UPPER(TRIM($D194))="NO",INDEX(Cat_TMax,MATCH($C194,Cat_Nombre,0)),INDEX(Cat_TMin,MATCH($C194,Cat_Nombre,0))))</f>
        <v/>
      </c>
      <c r="N194" s="17">
        <f>IF($F194&lt;&gt;"OK","",INDEX(Cat_TMax,MATCH($C194,Cat_Nombre,0)))</f>
        <v/>
      </c>
      <c r="O194" s="18">
        <f>IF($F194&lt;&gt;"OK","",INDEX(Cat_POpus,MATCH($C194,Cat_Nombre,0)))</f>
        <v/>
      </c>
      <c r="P194" s="19">
        <f>IF($F194&lt;&gt;"OK","",M194/1000000*((1-O194)*UsdM_Sonnet+O194*UsdM_Opus))</f>
        <v/>
      </c>
      <c r="Q194" s="19">
        <f>IF($F194&lt;&gt;"OK","",N194/1000000*((1-O194)*UsdM_Sonnet+O194*UsdM_Opus))</f>
        <v/>
      </c>
      <c r="R194" s="19">
        <f>IF($F194&lt;&gt;"OK","",G194*TarifaHora)</f>
        <v/>
      </c>
      <c r="S194" s="19">
        <f>IF($F194&lt;&gt;"OK","",H194*TarifaHora)</f>
        <v/>
      </c>
      <c r="T194" s="10">
        <f>IF($F194&lt;&gt;"OK","",IF(COUNTIFS($A$2:$A194,$A194,$F$2:$F194,"OK")=1,MAX($T$1:$T193)+1,""))</f>
        <v/>
      </c>
    </row>
    <row r="195">
      <c r="A195" s="11" t="n"/>
      <c r="B195" s="11" t="n"/>
      <c r="C195" s="11" t="n"/>
      <c r="D195" s="11" t="n"/>
      <c r="E195" s="11" t="n"/>
      <c r="F195" s="10">
        <f>IF(AND($A195="",$B195="",$C195=""),"",IF($A195="","⚠ Falta hito",IF(ISNA(MATCH($C195,Cat_Nombre,0)),"⚠ Categoría inválida","OK")))</f>
        <v/>
      </c>
      <c r="G195" s="16">
        <f>IF($F195&lt;&gt;"OK","",IF(UPPER(TRIM($D195))="NO",INDEX(Cat_HMax,MATCH($C195,Cat_Nombre,0)),INDEX(Cat_HMin,MATCH($C195,Cat_Nombre,0))))</f>
        <v/>
      </c>
      <c r="H195" s="16">
        <f>IF($F195&lt;&gt;"OK","",INDEX(Cat_HMax,MATCH($C195,Cat_Nombre,0)))</f>
        <v/>
      </c>
      <c r="I195" s="16">
        <f>IF($F195&lt;&gt;"OK","",(G195+H195)/2)</f>
        <v/>
      </c>
      <c r="J195" s="16">
        <f>IF($F195&lt;&gt;"OK","",G195/HorasDia)</f>
        <v/>
      </c>
      <c r="K195" s="16">
        <f>IF($F195&lt;&gt;"OK","",I195/HorasDia)</f>
        <v/>
      </c>
      <c r="L195" s="16">
        <f>IF($F195&lt;&gt;"OK","",H195/HorasDia)</f>
        <v/>
      </c>
      <c r="M195" s="17">
        <f>IF($F195&lt;&gt;"OK","",IF(UPPER(TRIM($D195))="NO",INDEX(Cat_TMax,MATCH($C195,Cat_Nombre,0)),INDEX(Cat_TMin,MATCH($C195,Cat_Nombre,0))))</f>
        <v/>
      </c>
      <c r="N195" s="17">
        <f>IF($F195&lt;&gt;"OK","",INDEX(Cat_TMax,MATCH($C195,Cat_Nombre,0)))</f>
        <v/>
      </c>
      <c r="O195" s="18">
        <f>IF($F195&lt;&gt;"OK","",INDEX(Cat_POpus,MATCH($C195,Cat_Nombre,0)))</f>
        <v/>
      </c>
      <c r="P195" s="19">
        <f>IF($F195&lt;&gt;"OK","",M195/1000000*((1-O195)*UsdM_Sonnet+O195*UsdM_Opus))</f>
        <v/>
      </c>
      <c r="Q195" s="19">
        <f>IF($F195&lt;&gt;"OK","",N195/1000000*((1-O195)*UsdM_Sonnet+O195*UsdM_Opus))</f>
        <v/>
      </c>
      <c r="R195" s="19">
        <f>IF($F195&lt;&gt;"OK","",G195*TarifaHora)</f>
        <v/>
      </c>
      <c r="S195" s="19">
        <f>IF($F195&lt;&gt;"OK","",H195*TarifaHora)</f>
        <v/>
      </c>
      <c r="T195" s="10">
        <f>IF($F195&lt;&gt;"OK","",IF(COUNTIFS($A$2:$A195,$A195,$F$2:$F195,"OK")=1,MAX($T$1:$T194)+1,""))</f>
        <v/>
      </c>
    </row>
    <row r="196">
      <c r="A196" s="11" t="n"/>
      <c r="B196" s="11" t="n"/>
      <c r="C196" s="11" t="n"/>
      <c r="D196" s="11" t="n"/>
      <c r="E196" s="11" t="n"/>
      <c r="F196" s="10">
        <f>IF(AND($A196="",$B196="",$C196=""),"",IF($A196="","⚠ Falta hito",IF(ISNA(MATCH($C196,Cat_Nombre,0)),"⚠ Categoría inválida","OK")))</f>
        <v/>
      </c>
      <c r="G196" s="16">
        <f>IF($F196&lt;&gt;"OK","",IF(UPPER(TRIM($D196))="NO",INDEX(Cat_HMax,MATCH($C196,Cat_Nombre,0)),INDEX(Cat_HMin,MATCH($C196,Cat_Nombre,0))))</f>
        <v/>
      </c>
      <c r="H196" s="16">
        <f>IF($F196&lt;&gt;"OK","",INDEX(Cat_HMax,MATCH($C196,Cat_Nombre,0)))</f>
        <v/>
      </c>
      <c r="I196" s="16">
        <f>IF($F196&lt;&gt;"OK","",(G196+H196)/2)</f>
        <v/>
      </c>
      <c r="J196" s="16">
        <f>IF($F196&lt;&gt;"OK","",G196/HorasDia)</f>
        <v/>
      </c>
      <c r="K196" s="16">
        <f>IF($F196&lt;&gt;"OK","",I196/HorasDia)</f>
        <v/>
      </c>
      <c r="L196" s="16">
        <f>IF($F196&lt;&gt;"OK","",H196/HorasDia)</f>
        <v/>
      </c>
      <c r="M196" s="17">
        <f>IF($F196&lt;&gt;"OK","",IF(UPPER(TRIM($D196))="NO",INDEX(Cat_TMax,MATCH($C196,Cat_Nombre,0)),INDEX(Cat_TMin,MATCH($C196,Cat_Nombre,0))))</f>
        <v/>
      </c>
      <c r="N196" s="17">
        <f>IF($F196&lt;&gt;"OK","",INDEX(Cat_TMax,MATCH($C196,Cat_Nombre,0)))</f>
        <v/>
      </c>
      <c r="O196" s="18">
        <f>IF($F196&lt;&gt;"OK","",INDEX(Cat_POpus,MATCH($C196,Cat_Nombre,0)))</f>
        <v/>
      </c>
      <c r="P196" s="19">
        <f>IF($F196&lt;&gt;"OK","",M196/1000000*((1-O196)*UsdM_Sonnet+O196*UsdM_Opus))</f>
        <v/>
      </c>
      <c r="Q196" s="19">
        <f>IF($F196&lt;&gt;"OK","",N196/1000000*((1-O196)*UsdM_Sonnet+O196*UsdM_Opus))</f>
        <v/>
      </c>
      <c r="R196" s="19">
        <f>IF($F196&lt;&gt;"OK","",G196*TarifaHora)</f>
        <v/>
      </c>
      <c r="S196" s="19">
        <f>IF($F196&lt;&gt;"OK","",H196*TarifaHora)</f>
        <v/>
      </c>
      <c r="T196" s="10">
        <f>IF($F196&lt;&gt;"OK","",IF(COUNTIFS($A$2:$A196,$A196,$F$2:$F196,"OK")=1,MAX($T$1:$T195)+1,""))</f>
        <v/>
      </c>
    </row>
    <row r="197">
      <c r="A197" s="11" t="n"/>
      <c r="B197" s="11" t="n"/>
      <c r="C197" s="11" t="n"/>
      <c r="D197" s="11" t="n"/>
      <c r="E197" s="11" t="n"/>
      <c r="F197" s="10">
        <f>IF(AND($A197="",$B197="",$C197=""),"",IF($A197="","⚠ Falta hito",IF(ISNA(MATCH($C197,Cat_Nombre,0)),"⚠ Categoría inválida","OK")))</f>
        <v/>
      </c>
      <c r="G197" s="16">
        <f>IF($F197&lt;&gt;"OK","",IF(UPPER(TRIM($D197))="NO",INDEX(Cat_HMax,MATCH($C197,Cat_Nombre,0)),INDEX(Cat_HMin,MATCH($C197,Cat_Nombre,0))))</f>
        <v/>
      </c>
      <c r="H197" s="16">
        <f>IF($F197&lt;&gt;"OK","",INDEX(Cat_HMax,MATCH($C197,Cat_Nombre,0)))</f>
        <v/>
      </c>
      <c r="I197" s="16">
        <f>IF($F197&lt;&gt;"OK","",(G197+H197)/2)</f>
        <v/>
      </c>
      <c r="J197" s="16">
        <f>IF($F197&lt;&gt;"OK","",G197/HorasDia)</f>
        <v/>
      </c>
      <c r="K197" s="16">
        <f>IF($F197&lt;&gt;"OK","",I197/HorasDia)</f>
        <v/>
      </c>
      <c r="L197" s="16">
        <f>IF($F197&lt;&gt;"OK","",H197/HorasDia)</f>
        <v/>
      </c>
      <c r="M197" s="17">
        <f>IF($F197&lt;&gt;"OK","",IF(UPPER(TRIM($D197))="NO",INDEX(Cat_TMax,MATCH($C197,Cat_Nombre,0)),INDEX(Cat_TMin,MATCH($C197,Cat_Nombre,0))))</f>
        <v/>
      </c>
      <c r="N197" s="17">
        <f>IF($F197&lt;&gt;"OK","",INDEX(Cat_TMax,MATCH($C197,Cat_Nombre,0)))</f>
        <v/>
      </c>
      <c r="O197" s="18">
        <f>IF($F197&lt;&gt;"OK","",INDEX(Cat_POpus,MATCH($C197,Cat_Nombre,0)))</f>
        <v/>
      </c>
      <c r="P197" s="19">
        <f>IF($F197&lt;&gt;"OK","",M197/1000000*((1-O197)*UsdM_Sonnet+O197*UsdM_Opus))</f>
        <v/>
      </c>
      <c r="Q197" s="19">
        <f>IF($F197&lt;&gt;"OK","",N197/1000000*((1-O197)*UsdM_Sonnet+O197*UsdM_Opus))</f>
        <v/>
      </c>
      <c r="R197" s="19">
        <f>IF($F197&lt;&gt;"OK","",G197*TarifaHora)</f>
        <v/>
      </c>
      <c r="S197" s="19">
        <f>IF($F197&lt;&gt;"OK","",H197*TarifaHora)</f>
        <v/>
      </c>
      <c r="T197" s="10">
        <f>IF($F197&lt;&gt;"OK","",IF(COUNTIFS($A$2:$A197,$A197,$F$2:$F197,"OK")=1,MAX($T$1:$T196)+1,""))</f>
        <v/>
      </c>
    </row>
    <row r="198">
      <c r="A198" s="11" t="n"/>
      <c r="B198" s="11" t="n"/>
      <c r="C198" s="11" t="n"/>
      <c r="D198" s="11" t="n"/>
      <c r="E198" s="11" t="n"/>
      <c r="F198" s="10">
        <f>IF(AND($A198="",$B198="",$C198=""),"",IF($A198="","⚠ Falta hito",IF(ISNA(MATCH($C198,Cat_Nombre,0)),"⚠ Categoría inválida","OK")))</f>
        <v/>
      </c>
      <c r="G198" s="16">
        <f>IF($F198&lt;&gt;"OK","",IF(UPPER(TRIM($D198))="NO",INDEX(Cat_HMax,MATCH($C198,Cat_Nombre,0)),INDEX(Cat_HMin,MATCH($C198,Cat_Nombre,0))))</f>
        <v/>
      </c>
      <c r="H198" s="16">
        <f>IF($F198&lt;&gt;"OK","",INDEX(Cat_HMax,MATCH($C198,Cat_Nombre,0)))</f>
        <v/>
      </c>
      <c r="I198" s="16">
        <f>IF($F198&lt;&gt;"OK","",(G198+H198)/2)</f>
        <v/>
      </c>
      <c r="J198" s="16">
        <f>IF($F198&lt;&gt;"OK","",G198/HorasDia)</f>
        <v/>
      </c>
      <c r="K198" s="16">
        <f>IF($F198&lt;&gt;"OK","",I198/HorasDia)</f>
        <v/>
      </c>
      <c r="L198" s="16">
        <f>IF($F198&lt;&gt;"OK","",H198/HorasDia)</f>
        <v/>
      </c>
      <c r="M198" s="17">
        <f>IF($F198&lt;&gt;"OK","",IF(UPPER(TRIM($D198))="NO",INDEX(Cat_TMax,MATCH($C198,Cat_Nombre,0)),INDEX(Cat_TMin,MATCH($C198,Cat_Nombre,0))))</f>
        <v/>
      </c>
      <c r="N198" s="17">
        <f>IF($F198&lt;&gt;"OK","",INDEX(Cat_TMax,MATCH($C198,Cat_Nombre,0)))</f>
        <v/>
      </c>
      <c r="O198" s="18">
        <f>IF($F198&lt;&gt;"OK","",INDEX(Cat_POpus,MATCH($C198,Cat_Nombre,0)))</f>
        <v/>
      </c>
      <c r="P198" s="19">
        <f>IF($F198&lt;&gt;"OK","",M198/1000000*((1-O198)*UsdM_Sonnet+O198*UsdM_Opus))</f>
        <v/>
      </c>
      <c r="Q198" s="19">
        <f>IF($F198&lt;&gt;"OK","",N198/1000000*((1-O198)*UsdM_Sonnet+O198*UsdM_Opus))</f>
        <v/>
      </c>
      <c r="R198" s="19">
        <f>IF($F198&lt;&gt;"OK","",G198*TarifaHora)</f>
        <v/>
      </c>
      <c r="S198" s="19">
        <f>IF($F198&lt;&gt;"OK","",H198*TarifaHora)</f>
        <v/>
      </c>
      <c r="T198" s="10">
        <f>IF($F198&lt;&gt;"OK","",IF(COUNTIFS($A$2:$A198,$A198,$F$2:$F198,"OK")=1,MAX($T$1:$T197)+1,""))</f>
        <v/>
      </c>
    </row>
    <row r="199">
      <c r="A199" s="11" t="n"/>
      <c r="B199" s="11" t="n"/>
      <c r="C199" s="11" t="n"/>
      <c r="D199" s="11" t="n"/>
      <c r="E199" s="11" t="n"/>
      <c r="F199" s="10">
        <f>IF(AND($A199="",$B199="",$C199=""),"",IF($A199="","⚠ Falta hito",IF(ISNA(MATCH($C199,Cat_Nombre,0)),"⚠ Categoría inválida","OK")))</f>
        <v/>
      </c>
      <c r="G199" s="16">
        <f>IF($F199&lt;&gt;"OK","",IF(UPPER(TRIM($D199))="NO",INDEX(Cat_HMax,MATCH($C199,Cat_Nombre,0)),INDEX(Cat_HMin,MATCH($C199,Cat_Nombre,0))))</f>
        <v/>
      </c>
      <c r="H199" s="16">
        <f>IF($F199&lt;&gt;"OK","",INDEX(Cat_HMax,MATCH($C199,Cat_Nombre,0)))</f>
        <v/>
      </c>
      <c r="I199" s="16">
        <f>IF($F199&lt;&gt;"OK","",(G199+H199)/2)</f>
        <v/>
      </c>
      <c r="J199" s="16">
        <f>IF($F199&lt;&gt;"OK","",G199/HorasDia)</f>
        <v/>
      </c>
      <c r="K199" s="16">
        <f>IF($F199&lt;&gt;"OK","",I199/HorasDia)</f>
        <v/>
      </c>
      <c r="L199" s="16">
        <f>IF($F199&lt;&gt;"OK","",H199/HorasDia)</f>
        <v/>
      </c>
      <c r="M199" s="17">
        <f>IF($F199&lt;&gt;"OK","",IF(UPPER(TRIM($D199))="NO",INDEX(Cat_TMax,MATCH($C199,Cat_Nombre,0)),INDEX(Cat_TMin,MATCH($C199,Cat_Nombre,0))))</f>
        <v/>
      </c>
      <c r="N199" s="17">
        <f>IF($F199&lt;&gt;"OK","",INDEX(Cat_TMax,MATCH($C199,Cat_Nombre,0)))</f>
        <v/>
      </c>
      <c r="O199" s="18">
        <f>IF($F199&lt;&gt;"OK","",INDEX(Cat_POpus,MATCH($C199,Cat_Nombre,0)))</f>
        <v/>
      </c>
      <c r="P199" s="19">
        <f>IF($F199&lt;&gt;"OK","",M199/1000000*((1-O199)*UsdM_Sonnet+O199*UsdM_Opus))</f>
        <v/>
      </c>
      <c r="Q199" s="19">
        <f>IF($F199&lt;&gt;"OK","",N199/1000000*((1-O199)*UsdM_Sonnet+O199*UsdM_Opus))</f>
        <v/>
      </c>
      <c r="R199" s="19">
        <f>IF($F199&lt;&gt;"OK","",G199*TarifaHora)</f>
        <v/>
      </c>
      <c r="S199" s="19">
        <f>IF($F199&lt;&gt;"OK","",H199*TarifaHora)</f>
        <v/>
      </c>
      <c r="T199" s="10">
        <f>IF($F199&lt;&gt;"OK","",IF(COUNTIFS($A$2:$A199,$A199,$F$2:$F199,"OK")=1,MAX($T$1:$T198)+1,""))</f>
        <v/>
      </c>
    </row>
    <row r="200">
      <c r="A200" s="11" t="n"/>
      <c r="B200" s="11" t="n"/>
      <c r="C200" s="11" t="n"/>
      <c r="D200" s="11" t="n"/>
      <c r="E200" s="11" t="n"/>
      <c r="F200" s="10">
        <f>IF(AND($A200="",$B200="",$C200=""),"",IF($A200="","⚠ Falta hito",IF(ISNA(MATCH($C200,Cat_Nombre,0)),"⚠ Categoría inválida","OK")))</f>
        <v/>
      </c>
      <c r="G200" s="16">
        <f>IF($F200&lt;&gt;"OK","",IF(UPPER(TRIM($D200))="NO",INDEX(Cat_HMax,MATCH($C200,Cat_Nombre,0)),INDEX(Cat_HMin,MATCH($C200,Cat_Nombre,0))))</f>
        <v/>
      </c>
      <c r="H200" s="16">
        <f>IF($F200&lt;&gt;"OK","",INDEX(Cat_HMax,MATCH($C200,Cat_Nombre,0)))</f>
        <v/>
      </c>
      <c r="I200" s="16">
        <f>IF($F200&lt;&gt;"OK","",(G200+H200)/2)</f>
        <v/>
      </c>
      <c r="J200" s="16">
        <f>IF($F200&lt;&gt;"OK","",G200/HorasDia)</f>
        <v/>
      </c>
      <c r="K200" s="16">
        <f>IF($F200&lt;&gt;"OK","",I200/HorasDia)</f>
        <v/>
      </c>
      <c r="L200" s="16">
        <f>IF($F200&lt;&gt;"OK","",H200/HorasDia)</f>
        <v/>
      </c>
      <c r="M200" s="17">
        <f>IF($F200&lt;&gt;"OK","",IF(UPPER(TRIM($D200))="NO",INDEX(Cat_TMax,MATCH($C200,Cat_Nombre,0)),INDEX(Cat_TMin,MATCH($C200,Cat_Nombre,0))))</f>
        <v/>
      </c>
      <c r="N200" s="17">
        <f>IF($F200&lt;&gt;"OK","",INDEX(Cat_TMax,MATCH($C200,Cat_Nombre,0)))</f>
        <v/>
      </c>
      <c r="O200" s="18">
        <f>IF($F200&lt;&gt;"OK","",INDEX(Cat_POpus,MATCH($C200,Cat_Nombre,0)))</f>
        <v/>
      </c>
      <c r="P200" s="19">
        <f>IF($F200&lt;&gt;"OK","",M200/1000000*((1-O200)*UsdM_Sonnet+O200*UsdM_Opus))</f>
        <v/>
      </c>
      <c r="Q200" s="19">
        <f>IF($F200&lt;&gt;"OK","",N200/1000000*((1-O200)*UsdM_Sonnet+O200*UsdM_Opus))</f>
        <v/>
      </c>
      <c r="R200" s="19">
        <f>IF($F200&lt;&gt;"OK","",G200*TarifaHora)</f>
        <v/>
      </c>
      <c r="S200" s="19">
        <f>IF($F200&lt;&gt;"OK","",H200*TarifaHora)</f>
        <v/>
      </c>
      <c r="T200" s="10">
        <f>IF($F200&lt;&gt;"OK","",IF(COUNTIFS($A$2:$A200,$A200,$F$2:$F200,"OK")=1,MAX($T$1:$T199)+1,""))</f>
        <v/>
      </c>
    </row>
    <row r="201">
      <c r="A201" s="11" t="n"/>
      <c r="B201" s="11" t="n"/>
      <c r="C201" s="11" t="n"/>
      <c r="D201" s="11" t="n"/>
      <c r="E201" s="11" t="n"/>
      <c r="F201" s="10">
        <f>IF(AND($A201="",$B201="",$C201=""),"",IF($A201="","⚠ Falta hito",IF(ISNA(MATCH($C201,Cat_Nombre,0)),"⚠ Categoría inválida","OK")))</f>
        <v/>
      </c>
      <c r="G201" s="16">
        <f>IF($F201&lt;&gt;"OK","",IF(UPPER(TRIM($D201))="NO",INDEX(Cat_HMax,MATCH($C201,Cat_Nombre,0)),INDEX(Cat_HMin,MATCH($C201,Cat_Nombre,0))))</f>
        <v/>
      </c>
      <c r="H201" s="16">
        <f>IF($F201&lt;&gt;"OK","",INDEX(Cat_HMax,MATCH($C201,Cat_Nombre,0)))</f>
        <v/>
      </c>
      <c r="I201" s="16">
        <f>IF($F201&lt;&gt;"OK","",(G201+H201)/2)</f>
        <v/>
      </c>
      <c r="J201" s="16">
        <f>IF($F201&lt;&gt;"OK","",G201/HorasDia)</f>
        <v/>
      </c>
      <c r="K201" s="16">
        <f>IF($F201&lt;&gt;"OK","",I201/HorasDia)</f>
        <v/>
      </c>
      <c r="L201" s="16">
        <f>IF($F201&lt;&gt;"OK","",H201/HorasDia)</f>
        <v/>
      </c>
      <c r="M201" s="17">
        <f>IF($F201&lt;&gt;"OK","",IF(UPPER(TRIM($D201))="NO",INDEX(Cat_TMax,MATCH($C201,Cat_Nombre,0)),INDEX(Cat_TMin,MATCH($C201,Cat_Nombre,0))))</f>
        <v/>
      </c>
      <c r="N201" s="17">
        <f>IF($F201&lt;&gt;"OK","",INDEX(Cat_TMax,MATCH($C201,Cat_Nombre,0)))</f>
        <v/>
      </c>
      <c r="O201" s="18">
        <f>IF($F201&lt;&gt;"OK","",INDEX(Cat_POpus,MATCH($C201,Cat_Nombre,0)))</f>
        <v/>
      </c>
      <c r="P201" s="19">
        <f>IF($F201&lt;&gt;"OK","",M201/1000000*((1-O201)*UsdM_Sonnet+O201*UsdM_Opus))</f>
        <v/>
      </c>
      <c r="Q201" s="19">
        <f>IF($F201&lt;&gt;"OK","",N201/1000000*((1-O201)*UsdM_Sonnet+O201*UsdM_Opus))</f>
        <v/>
      </c>
      <c r="R201" s="19">
        <f>IF($F201&lt;&gt;"OK","",G201*TarifaHora)</f>
        <v/>
      </c>
      <c r="S201" s="19">
        <f>IF($F201&lt;&gt;"OK","",H201*TarifaHora)</f>
        <v/>
      </c>
      <c r="T201" s="10">
        <f>IF($F201&lt;&gt;"OK","",IF(COUNTIFS($A$2:$A201,$A201,$F$2:$F201,"OK")=1,MAX($T$1:$T200)+1,""))</f>
        <v/>
      </c>
    </row>
    <row r="202">
      <c r="A202" s="11" t="n"/>
      <c r="B202" s="11" t="n"/>
      <c r="C202" s="11" t="n"/>
      <c r="D202" s="11" t="n"/>
      <c r="E202" s="11" t="n"/>
      <c r="F202" s="10">
        <f>IF(AND($A202="",$B202="",$C202=""),"",IF($A202="","⚠ Falta hito",IF(ISNA(MATCH($C202,Cat_Nombre,0)),"⚠ Categoría inválida","OK")))</f>
        <v/>
      </c>
      <c r="G202" s="16">
        <f>IF($F202&lt;&gt;"OK","",IF(UPPER(TRIM($D202))="NO",INDEX(Cat_HMax,MATCH($C202,Cat_Nombre,0)),INDEX(Cat_HMin,MATCH($C202,Cat_Nombre,0))))</f>
        <v/>
      </c>
      <c r="H202" s="16">
        <f>IF($F202&lt;&gt;"OK","",INDEX(Cat_HMax,MATCH($C202,Cat_Nombre,0)))</f>
        <v/>
      </c>
      <c r="I202" s="16">
        <f>IF($F202&lt;&gt;"OK","",(G202+H202)/2)</f>
        <v/>
      </c>
      <c r="J202" s="16">
        <f>IF($F202&lt;&gt;"OK","",G202/HorasDia)</f>
        <v/>
      </c>
      <c r="K202" s="16">
        <f>IF($F202&lt;&gt;"OK","",I202/HorasDia)</f>
        <v/>
      </c>
      <c r="L202" s="16">
        <f>IF($F202&lt;&gt;"OK","",H202/HorasDia)</f>
        <v/>
      </c>
      <c r="M202" s="17">
        <f>IF($F202&lt;&gt;"OK","",IF(UPPER(TRIM($D202))="NO",INDEX(Cat_TMax,MATCH($C202,Cat_Nombre,0)),INDEX(Cat_TMin,MATCH($C202,Cat_Nombre,0))))</f>
        <v/>
      </c>
      <c r="N202" s="17">
        <f>IF($F202&lt;&gt;"OK","",INDEX(Cat_TMax,MATCH($C202,Cat_Nombre,0)))</f>
        <v/>
      </c>
      <c r="O202" s="18">
        <f>IF($F202&lt;&gt;"OK","",INDEX(Cat_POpus,MATCH($C202,Cat_Nombre,0)))</f>
        <v/>
      </c>
      <c r="P202" s="19">
        <f>IF($F202&lt;&gt;"OK","",M202/1000000*((1-O202)*UsdM_Sonnet+O202*UsdM_Opus))</f>
        <v/>
      </c>
      <c r="Q202" s="19">
        <f>IF($F202&lt;&gt;"OK","",N202/1000000*((1-O202)*UsdM_Sonnet+O202*UsdM_Opus))</f>
        <v/>
      </c>
      <c r="R202" s="19">
        <f>IF($F202&lt;&gt;"OK","",G202*TarifaHora)</f>
        <v/>
      </c>
      <c r="S202" s="19">
        <f>IF($F202&lt;&gt;"OK","",H202*TarifaHora)</f>
        <v/>
      </c>
      <c r="T202" s="10">
        <f>IF($F202&lt;&gt;"OK","",IF(COUNTIFS($A$2:$A202,$A202,$F$2:$F202,"OK")=1,MAX($T$1:$T201)+1,""))</f>
        <v/>
      </c>
    </row>
    <row r="203">
      <c r="A203" s="11" t="n"/>
      <c r="B203" s="11" t="n"/>
      <c r="C203" s="11" t="n"/>
      <c r="D203" s="11" t="n"/>
      <c r="E203" s="11" t="n"/>
      <c r="F203" s="10">
        <f>IF(AND($A203="",$B203="",$C203=""),"",IF($A203="","⚠ Falta hito",IF(ISNA(MATCH($C203,Cat_Nombre,0)),"⚠ Categoría inválida","OK")))</f>
        <v/>
      </c>
      <c r="G203" s="16">
        <f>IF($F203&lt;&gt;"OK","",IF(UPPER(TRIM($D203))="NO",INDEX(Cat_HMax,MATCH($C203,Cat_Nombre,0)),INDEX(Cat_HMin,MATCH($C203,Cat_Nombre,0))))</f>
        <v/>
      </c>
      <c r="H203" s="16">
        <f>IF($F203&lt;&gt;"OK","",INDEX(Cat_HMax,MATCH($C203,Cat_Nombre,0)))</f>
        <v/>
      </c>
      <c r="I203" s="16">
        <f>IF($F203&lt;&gt;"OK","",(G203+H203)/2)</f>
        <v/>
      </c>
      <c r="J203" s="16">
        <f>IF($F203&lt;&gt;"OK","",G203/HorasDia)</f>
        <v/>
      </c>
      <c r="K203" s="16">
        <f>IF($F203&lt;&gt;"OK","",I203/HorasDia)</f>
        <v/>
      </c>
      <c r="L203" s="16">
        <f>IF($F203&lt;&gt;"OK","",H203/HorasDia)</f>
        <v/>
      </c>
      <c r="M203" s="17">
        <f>IF($F203&lt;&gt;"OK","",IF(UPPER(TRIM($D203))="NO",INDEX(Cat_TMax,MATCH($C203,Cat_Nombre,0)),INDEX(Cat_TMin,MATCH($C203,Cat_Nombre,0))))</f>
        <v/>
      </c>
      <c r="N203" s="17">
        <f>IF($F203&lt;&gt;"OK","",INDEX(Cat_TMax,MATCH($C203,Cat_Nombre,0)))</f>
        <v/>
      </c>
      <c r="O203" s="18">
        <f>IF($F203&lt;&gt;"OK","",INDEX(Cat_POpus,MATCH($C203,Cat_Nombre,0)))</f>
        <v/>
      </c>
      <c r="P203" s="19">
        <f>IF($F203&lt;&gt;"OK","",M203/1000000*((1-O203)*UsdM_Sonnet+O203*UsdM_Opus))</f>
        <v/>
      </c>
      <c r="Q203" s="19">
        <f>IF($F203&lt;&gt;"OK","",N203/1000000*((1-O203)*UsdM_Sonnet+O203*UsdM_Opus))</f>
        <v/>
      </c>
      <c r="R203" s="19">
        <f>IF($F203&lt;&gt;"OK","",G203*TarifaHora)</f>
        <v/>
      </c>
      <c r="S203" s="19">
        <f>IF($F203&lt;&gt;"OK","",H203*TarifaHora)</f>
        <v/>
      </c>
      <c r="T203" s="10">
        <f>IF($F203&lt;&gt;"OK","",IF(COUNTIFS($A$2:$A203,$A203,$F$2:$F203,"OK")=1,MAX($T$1:$T202)+1,""))</f>
        <v/>
      </c>
    </row>
    <row r="204">
      <c r="A204" s="11" t="n"/>
      <c r="B204" s="11" t="n"/>
      <c r="C204" s="11" t="n"/>
      <c r="D204" s="11" t="n"/>
      <c r="E204" s="11" t="n"/>
      <c r="F204" s="10">
        <f>IF(AND($A204="",$B204="",$C204=""),"",IF($A204="","⚠ Falta hito",IF(ISNA(MATCH($C204,Cat_Nombre,0)),"⚠ Categoría inválida","OK")))</f>
        <v/>
      </c>
      <c r="G204" s="16">
        <f>IF($F204&lt;&gt;"OK","",IF(UPPER(TRIM($D204))="NO",INDEX(Cat_HMax,MATCH($C204,Cat_Nombre,0)),INDEX(Cat_HMin,MATCH($C204,Cat_Nombre,0))))</f>
        <v/>
      </c>
      <c r="H204" s="16">
        <f>IF($F204&lt;&gt;"OK","",INDEX(Cat_HMax,MATCH($C204,Cat_Nombre,0)))</f>
        <v/>
      </c>
      <c r="I204" s="16">
        <f>IF($F204&lt;&gt;"OK","",(G204+H204)/2)</f>
        <v/>
      </c>
      <c r="J204" s="16">
        <f>IF($F204&lt;&gt;"OK","",G204/HorasDia)</f>
        <v/>
      </c>
      <c r="K204" s="16">
        <f>IF($F204&lt;&gt;"OK","",I204/HorasDia)</f>
        <v/>
      </c>
      <c r="L204" s="16">
        <f>IF($F204&lt;&gt;"OK","",H204/HorasDia)</f>
        <v/>
      </c>
      <c r="M204" s="17">
        <f>IF($F204&lt;&gt;"OK","",IF(UPPER(TRIM($D204))="NO",INDEX(Cat_TMax,MATCH($C204,Cat_Nombre,0)),INDEX(Cat_TMin,MATCH($C204,Cat_Nombre,0))))</f>
        <v/>
      </c>
      <c r="N204" s="17">
        <f>IF($F204&lt;&gt;"OK","",INDEX(Cat_TMax,MATCH($C204,Cat_Nombre,0)))</f>
        <v/>
      </c>
      <c r="O204" s="18">
        <f>IF($F204&lt;&gt;"OK","",INDEX(Cat_POpus,MATCH($C204,Cat_Nombre,0)))</f>
        <v/>
      </c>
      <c r="P204" s="19">
        <f>IF($F204&lt;&gt;"OK","",M204/1000000*((1-O204)*UsdM_Sonnet+O204*UsdM_Opus))</f>
        <v/>
      </c>
      <c r="Q204" s="19">
        <f>IF($F204&lt;&gt;"OK","",N204/1000000*((1-O204)*UsdM_Sonnet+O204*UsdM_Opus))</f>
        <v/>
      </c>
      <c r="R204" s="19">
        <f>IF($F204&lt;&gt;"OK","",G204*TarifaHora)</f>
        <v/>
      </c>
      <c r="S204" s="19">
        <f>IF($F204&lt;&gt;"OK","",H204*TarifaHora)</f>
        <v/>
      </c>
      <c r="T204" s="10">
        <f>IF($F204&lt;&gt;"OK","",IF(COUNTIFS($A$2:$A204,$A204,$F$2:$F204,"OK")=1,MAX($T$1:$T203)+1,""))</f>
        <v/>
      </c>
    </row>
    <row r="205">
      <c r="A205" s="11" t="n"/>
      <c r="B205" s="11" t="n"/>
      <c r="C205" s="11" t="n"/>
      <c r="D205" s="11" t="n"/>
      <c r="E205" s="11" t="n"/>
      <c r="F205" s="10">
        <f>IF(AND($A205="",$B205="",$C205=""),"",IF($A205="","⚠ Falta hito",IF(ISNA(MATCH($C205,Cat_Nombre,0)),"⚠ Categoría inválida","OK")))</f>
        <v/>
      </c>
      <c r="G205" s="16">
        <f>IF($F205&lt;&gt;"OK","",IF(UPPER(TRIM($D205))="NO",INDEX(Cat_HMax,MATCH($C205,Cat_Nombre,0)),INDEX(Cat_HMin,MATCH($C205,Cat_Nombre,0))))</f>
        <v/>
      </c>
      <c r="H205" s="16">
        <f>IF($F205&lt;&gt;"OK","",INDEX(Cat_HMax,MATCH($C205,Cat_Nombre,0)))</f>
        <v/>
      </c>
      <c r="I205" s="16">
        <f>IF($F205&lt;&gt;"OK","",(G205+H205)/2)</f>
        <v/>
      </c>
      <c r="J205" s="16">
        <f>IF($F205&lt;&gt;"OK","",G205/HorasDia)</f>
        <v/>
      </c>
      <c r="K205" s="16">
        <f>IF($F205&lt;&gt;"OK","",I205/HorasDia)</f>
        <v/>
      </c>
      <c r="L205" s="16">
        <f>IF($F205&lt;&gt;"OK","",H205/HorasDia)</f>
        <v/>
      </c>
      <c r="M205" s="17">
        <f>IF($F205&lt;&gt;"OK","",IF(UPPER(TRIM($D205))="NO",INDEX(Cat_TMax,MATCH($C205,Cat_Nombre,0)),INDEX(Cat_TMin,MATCH($C205,Cat_Nombre,0))))</f>
        <v/>
      </c>
      <c r="N205" s="17">
        <f>IF($F205&lt;&gt;"OK","",INDEX(Cat_TMax,MATCH($C205,Cat_Nombre,0)))</f>
        <v/>
      </c>
      <c r="O205" s="18">
        <f>IF($F205&lt;&gt;"OK","",INDEX(Cat_POpus,MATCH($C205,Cat_Nombre,0)))</f>
        <v/>
      </c>
      <c r="P205" s="19">
        <f>IF($F205&lt;&gt;"OK","",M205/1000000*((1-O205)*UsdM_Sonnet+O205*UsdM_Opus))</f>
        <v/>
      </c>
      <c r="Q205" s="19">
        <f>IF($F205&lt;&gt;"OK","",N205/1000000*((1-O205)*UsdM_Sonnet+O205*UsdM_Opus))</f>
        <v/>
      </c>
      <c r="R205" s="19">
        <f>IF($F205&lt;&gt;"OK","",G205*TarifaHora)</f>
        <v/>
      </c>
      <c r="S205" s="19">
        <f>IF($F205&lt;&gt;"OK","",H205*TarifaHora)</f>
        <v/>
      </c>
      <c r="T205" s="10">
        <f>IF($F205&lt;&gt;"OK","",IF(COUNTIFS($A$2:$A205,$A205,$F$2:$F205,"OK")=1,MAX($T$1:$T204)+1,""))</f>
        <v/>
      </c>
    </row>
    <row r="206">
      <c r="A206" s="11" t="n"/>
      <c r="B206" s="11" t="n"/>
      <c r="C206" s="11" t="n"/>
      <c r="D206" s="11" t="n"/>
      <c r="E206" s="11" t="n"/>
      <c r="F206" s="10">
        <f>IF(AND($A206="",$B206="",$C206=""),"",IF($A206="","⚠ Falta hito",IF(ISNA(MATCH($C206,Cat_Nombre,0)),"⚠ Categoría inválida","OK")))</f>
        <v/>
      </c>
      <c r="G206" s="16">
        <f>IF($F206&lt;&gt;"OK","",IF(UPPER(TRIM($D206))="NO",INDEX(Cat_HMax,MATCH($C206,Cat_Nombre,0)),INDEX(Cat_HMin,MATCH($C206,Cat_Nombre,0))))</f>
        <v/>
      </c>
      <c r="H206" s="16">
        <f>IF($F206&lt;&gt;"OK","",INDEX(Cat_HMax,MATCH($C206,Cat_Nombre,0)))</f>
        <v/>
      </c>
      <c r="I206" s="16">
        <f>IF($F206&lt;&gt;"OK","",(G206+H206)/2)</f>
        <v/>
      </c>
      <c r="J206" s="16">
        <f>IF($F206&lt;&gt;"OK","",G206/HorasDia)</f>
        <v/>
      </c>
      <c r="K206" s="16">
        <f>IF($F206&lt;&gt;"OK","",I206/HorasDia)</f>
        <v/>
      </c>
      <c r="L206" s="16">
        <f>IF($F206&lt;&gt;"OK","",H206/HorasDia)</f>
        <v/>
      </c>
      <c r="M206" s="17">
        <f>IF($F206&lt;&gt;"OK","",IF(UPPER(TRIM($D206))="NO",INDEX(Cat_TMax,MATCH($C206,Cat_Nombre,0)),INDEX(Cat_TMin,MATCH($C206,Cat_Nombre,0))))</f>
        <v/>
      </c>
      <c r="N206" s="17">
        <f>IF($F206&lt;&gt;"OK","",INDEX(Cat_TMax,MATCH($C206,Cat_Nombre,0)))</f>
        <v/>
      </c>
      <c r="O206" s="18">
        <f>IF($F206&lt;&gt;"OK","",INDEX(Cat_POpus,MATCH($C206,Cat_Nombre,0)))</f>
        <v/>
      </c>
      <c r="P206" s="19">
        <f>IF($F206&lt;&gt;"OK","",M206/1000000*((1-O206)*UsdM_Sonnet+O206*UsdM_Opus))</f>
        <v/>
      </c>
      <c r="Q206" s="19">
        <f>IF($F206&lt;&gt;"OK","",N206/1000000*((1-O206)*UsdM_Sonnet+O206*UsdM_Opus))</f>
        <v/>
      </c>
      <c r="R206" s="19">
        <f>IF($F206&lt;&gt;"OK","",G206*TarifaHora)</f>
        <v/>
      </c>
      <c r="S206" s="19">
        <f>IF($F206&lt;&gt;"OK","",H206*TarifaHora)</f>
        <v/>
      </c>
      <c r="T206" s="10">
        <f>IF($F206&lt;&gt;"OK","",IF(COUNTIFS($A$2:$A206,$A206,$F$2:$F206,"OK")=1,MAX($T$1:$T205)+1,""))</f>
        <v/>
      </c>
    </row>
    <row r="207">
      <c r="A207" s="11" t="n"/>
      <c r="B207" s="11" t="n"/>
      <c r="C207" s="11" t="n"/>
      <c r="D207" s="11" t="n"/>
      <c r="E207" s="11" t="n"/>
      <c r="F207" s="10">
        <f>IF(AND($A207="",$B207="",$C207=""),"",IF($A207="","⚠ Falta hito",IF(ISNA(MATCH($C207,Cat_Nombre,0)),"⚠ Categoría inválida","OK")))</f>
        <v/>
      </c>
      <c r="G207" s="16">
        <f>IF($F207&lt;&gt;"OK","",IF(UPPER(TRIM($D207))="NO",INDEX(Cat_HMax,MATCH($C207,Cat_Nombre,0)),INDEX(Cat_HMin,MATCH($C207,Cat_Nombre,0))))</f>
        <v/>
      </c>
      <c r="H207" s="16">
        <f>IF($F207&lt;&gt;"OK","",INDEX(Cat_HMax,MATCH($C207,Cat_Nombre,0)))</f>
        <v/>
      </c>
      <c r="I207" s="16">
        <f>IF($F207&lt;&gt;"OK","",(G207+H207)/2)</f>
        <v/>
      </c>
      <c r="J207" s="16">
        <f>IF($F207&lt;&gt;"OK","",G207/HorasDia)</f>
        <v/>
      </c>
      <c r="K207" s="16">
        <f>IF($F207&lt;&gt;"OK","",I207/HorasDia)</f>
        <v/>
      </c>
      <c r="L207" s="16">
        <f>IF($F207&lt;&gt;"OK","",H207/HorasDia)</f>
        <v/>
      </c>
      <c r="M207" s="17">
        <f>IF($F207&lt;&gt;"OK","",IF(UPPER(TRIM($D207))="NO",INDEX(Cat_TMax,MATCH($C207,Cat_Nombre,0)),INDEX(Cat_TMin,MATCH($C207,Cat_Nombre,0))))</f>
        <v/>
      </c>
      <c r="N207" s="17">
        <f>IF($F207&lt;&gt;"OK","",INDEX(Cat_TMax,MATCH($C207,Cat_Nombre,0)))</f>
        <v/>
      </c>
      <c r="O207" s="18">
        <f>IF($F207&lt;&gt;"OK","",INDEX(Cat_POpus,MATCH($C207,Cat_Nombre,0)))</f>
        <v/>
      </c>
      <c r="P207" s="19">
        <f>IF($F207&lt;&gt;"OK","",M207/1000000*((1-O207)*UsdM_Sonnet+O207*UsdM_Opus))</f>
        <v/>
      </c>
      <c r="Q207" s="19">
        <f>IF($F207&lt;&gt;"OK","",N207/1000000*((1-O207)*UsdM_Sonnet+O207*UsdM_Opus))</f>
        <v/>
      </c>
      <c r="R207" s="19">
        <f>IF($F207&lt;&gt;"OK","",G207*TarifaHora)</f>
        <v/>
      </c>
      <c r="S207" s="19">
        <f>IF($F207&lt;&gt;"OK","",H207*TarifaHora)</f>
        <v/>
      </c>
      <c r="T207" s="10">
        <f>IF($F207&lt;&gt;"OK","",IF(COUNTIFS($A$2:$A207,$A207,$F$2:$F207,"OK")=1,MAX($T$1:$T206)+1,""))</f>
        <v/>
      </c>
    </row>
    <row r="208">
      <c r="A208" s="11" t="n"/>
      <c r="B208" s="11" t="n"/>
      <c r="C208" s="11" t="n"/>
      <c r="D208" s="11" t="n"/>
      <c r="E208" s="11" t="n"/>
      <c r="F208" s="10">
        <f>IF(AND($A208="",$B208="",$C208=""),"",IF($A208="","⚠ Falta hito",IF(ISNA(MATCH($C208,Cat_Nombre,0)),"⚠ Categoría inválida","OK")))</f>
        <v/>
      </c>
      <c r="G208" s="16">
        <f>IF($F208&lt;&gt;"OK","",IF(UPPER(TRIM($D208))="NO",INDEX(Cat_HMax,MATCH($C208,Cat_Nombre,0)),INDEX(Cat_HMin,MATCH($C208,Cat_Nombre,0))))</f>
        <v/>
      </c>
      <c r="H208" s="16">
        <f>IF($F208&lt;&gt;"OK","",INDEX(Cat_HMax,MATCH($C208,Cat_Nombre,0)))</f>
        <v/>
      </c>
      <c r="I208" s="16">
        <f>IF($F208&lt;&gt;"OK","",(G208+H208)/2)</f>
        <v/>
      </c>
      <c r="J208" s="16">
        <f>IF($F208&lt;&gt;"OK","",G208/HorasDia)</f>
        <v/>
      </c>
      <c r="K208" s="16">
        <f>IF($F208&lt;&gt;"OK","",I208/HorasDia)</f>
        <v/>
      </c>
      <c r="L208" s="16">
        <f>IF($F208&lt;&gt;"OK","",H208/HorasDia)</f>
        <v/>
      </c>
      <c r="M208" s="17">
        <f>IF($F208&lt;&gt;"OK","",IF(UPPER(TRIM($D208))="NO",INDEX(Cat_TMax,MATCH($C208,Cat_Nombre,0)),INDEX(Cat_TMin,MATCH($C208,Cat_Nombre,0))))</f>
        <v/>
      </c>
      <c r="N208" s="17">
        <f>IF($F208&lt;&gt;"OK","",INDEX(Cat_TMax,MATCH($C208,Cat_Nombre,0)))</f>
        <v/>
      </c>
      <c r="O208" s="18">
        <f>IF($F208&lt;&gt;"OK","",INDEX(Cat_POpus,MATCH($C208,Cat_Nombre,0)))</f>
        <v/>
      </c>
      <c r="P208" s="19">
        <f>IF($F208&lt;&gt;"OK","",M208/1000000*((1-O208)*UsdM_Sonnet+O208*UsdM_Opus))</f>
        <v/>
      </c>
      <c r="Q208" s="19">
        <f>IF($F208&lt;&gt;"OK","",N208/1000000*((1-O208)*UsdM_Sonnet+O208*UsdM_Opus))</f>
        <v/>
      </c>
      <c r="R208" s="19">
        <f>IF($F208&lt;&gt;"OK","",G208*TarifaHora)</f>
        <v/>
      </c>
      <c r="S208" s="19">
        <f>IF($F208&lt;&gt;"OK","",H208*TarifaHora)</f>
        <v/>
      </c>
      <c r="T208" s="10">
        <f>IF($F208&lt;&gt;"OK","",IF(COUNTIFS($A$2:$A208,$A208,$F$2:$F208,"OK")=1,MAX($T$1:$T207)+1,""))</f>
        <v/>
      </c>
    </row>
    <row r="209">
      <c r="A209" s="11" t="n"/>
      <c r="B209" s="11" t="n"/>
      <c r="C209" s="11" t="n"/>
      <c r="D209" s="11" t="n"/>
      <c r="E209" s="11" t="n"/>
      <c r="F209" s="10">
        <f>IF(AND($A209="",$B209="",$C209=""),"",IF($A209="","⚠ Falta hito",IF(ISNA(MATCH($C209,Cat_Nombre,0)),"⚠ Categoría inválida","OK")))</f>
        <v/>
      </c>
      <c r="G209" s="16">
        <f>IF($F209&lt;&gt;"OK","",IF(UPPER(TRIM($D209))="NO",INDEX(Cat_HMax,MATCH($C209,Cat_Nombre,0)),INDEX(Cat_HMin,MATCH($C209,Cat_Nombre,0))))</f>
        <v/>
      </c>
      <c r="H209" s="16">
        <f>IF($F209&lt;&gt;"OK","",INDEX(Cat_HMax,MATCH($C209,Cat_Nombre,0)))</f>
        <v/>
      </c>
      <c r="I209" s="16">
        <f>IF($F209&lt;&gt;"OK","",(G209+H209)/2)</f>
        <v/>
      </c>
      <c r="J209" s="16">
        <f>IF($F209&lt;&gt;"OK","",G209/HorasDia)</f>
        <v/>
      </c>
      <c r="K209" s="16">
        <f>IF($F209&lt;&gt;"OK","",I209/HorasDia)</f>
        <v/>
      </c>
      <c r="L209" s="16">
        <f>IF($F209&lt;&gt;"OK","",H209/HorasDia)</f>
        <v/>
      </c>
      <c r="M209" s="17">
        <f>IF($F209&lt;&gt;"OK","",IF(UPPER(TRIM($D209))="NO",INDEX(Cat_TMax,MATCH($C209,Cat_Nombre,0)),INDEX(Cat_TMin,MATCH($C209,Cat_Nombre,0))))</f>
        <v/>
      </c>
      <c r="N209" s="17">
        <f>IF($F209&lt;&gt;"OK","",INDEX(Cat_TMax,MATCH($C209,Cat_Nombre,0)))</f>
        <v/>
      </c>
      <c r="O209" s="18">
        <f>IF($F209&lt;&gt;"OK","",INDEX(Cat_POpus,MATCH($C209,Cat_Nombre,0)))</f>
        <v/>
      </c>
      <c r="P209" s="19">
        <f>IF($F209&lt;&gt;"OK","",M209/1000000*((1-O209)*UsdM_Sonnet+O209*UsdM_Opus))</f>
        <v/>
      </c>
      <c r="Q209" s="19">
        <f>IF($F209&lt;&gt;"OK","",N209/1000000*((1-O209)*UsdM_Sonnet+O209*UsdM_Opus))</f>
        <v/>
      </c>
      <c r="R209" s="19">
        <f>IF($F209&lt;&gt;"OK","",G209*TarifaHora)</f>
        <v/>
      </c>
      <c r="S209" s="19">
        <f>IF($F209&lt;&gt;"OK","",H209*TarifaHora)</f>
        <v/>
      </c>
      <c r="T209" s="10">
        <f>IF($F209&lt;&gt;"OK","",IF(COUNTIFS($A$2:$A209,$A209,$F$2:$F209,"OK")=1,MAX($T$1:$T208)+1,""))</f>
        <v/>
      </c>
    </row>
    <row r="210">
      <c r="A210" s="11" t="n"/>
      <c r="B210" s="11" t="n"/>
      <c r="C210" s="11" t="n"/>
      <c r="D210" s="11" t="n"/>
      <c r="E210" s="11" t="n"/>
      <c r="F210" s="10">
        <f>IF(AND($A210="",$B210="",$C210=""),"",IF($A210="","⚠ Falta hito",IF(ISNA(MATCH($C210,Cat_Nombre,0)),"⚠ Categoría inválida","OK")))</f>
        <v/>
      </c>
      <c r="G210" s="16">
        <f>IF($F210&lt;&gt;"OK","",IF(UPPER(TRIM($D210))="NO",INDEX(Cat_HMax,MATCH($C210,Cat_Nombre,0)),INDEX(Cat_HMin,MATCH($C210,Cat_Nombre,0))))</f>
        <v/>
      </c>
      <c r="H210" s="16">
        <f>IF($F210&lt;&gt;"OK","",INDEX(Cat_HMax,MATCH($C210,Cat_Nombre,0)))</f>
        <v/>
      </c>
      <c r="I210" s="16">
        <f>IF($F210&lt;&gt;"OK","",(G210+H210)/2)</f>
        <v/>
      </c>
      <c r="J210" s="16">
        <f>IF($F210&lt;&gt;"OK","",G210/HorasDia)</f>
        <v/>
      </c>
      <c r="K210" s="16">
        <f>IF($F210&lt;&gt;"OK","",I210/HorasDia)</f>
        <v/>
      </c>
      <c r="L210" s="16">
        <f>IF($F210&lt;&gt;"OK","",H210/HorasDia)</f>
        <v/>
      </c>
      <c r="M210" s="17">
        <f>IF($F210&lt;&gt;"OK","",IF(UPPER(TRIM($D210))="NO",INDEX(Cat_TMax,MATCH($C210,Cat_Nombre,0)),INDEX(Cat_TMin,MATCH($C210,Cat_Nombre,0))))</f>
        <v/>
      </c>
      <c r="N210" s="17">
        <f>IF($F210&lt;&gt;"OK","",INDEX(Cat_TMax,MATCH($C210,Cat_Nombre,0)))</f>
        <v/>
      </c>
      <c r="O210" s="18">
        <f>IF($F210&lt;&gt;"OK","",INDEX(Cat_POpus,MATCH($C210,Cat_Nombre,0)))</f>
        <v/>
      </c>
      <c r="P210" s="19">
        <f>IF($F210&lt;&gt;"OK","",M210/1000000*((1-O210)*UsdM_Sonnet+O210*UsdM_Opus))</f>
        <v/>
      </c>
      <c r="Q210" s="19">
        <f>IF($F210&lt;&gt;"OK","",N210/1000000*((1-O210)*UsdM_Sonnet+O210*UsdM_Opus))</f>
        <v/>
      </c>
      <c r="R210" s="19">
        <f>IF($F210&lt;&gt;"OK","",G210*TarifaHora)</f>
        <v/>
      </c>
      <c r="S210" s="19">
        <f>IF($F210&lt;&gt;"OK","",H210*TarifaHora)</f>
        <v/>
      </c>
      <c r="T210" s="10">
        <f>IF($F210&lt;&gt;"OK","",IF(COUNTIFS($A$2:$A210,$A210,$F$2:$F210,"OK")=1,MAX($T$1:$T209)+1,""))</f>
        <v/>
      </c>
    </row>
    <row r="211">
      <c r="A211" s="11" t="n"/>
      <c r="B211" s="11" t="n"/>
      <c r="C211" s="11" t="n"/>
      <c r="D211" s="11" t="n"/>
      <c r="E211" s="11" t="n"/>
      <c r="F211" s="10">
        <f>IF(AND($A211="",$B211="",$C211=""),"",IF($A211="","⚠ Falta hito",IF(ISNA(MATCH($C211,Cat_Nombre,0)),"⚠ Categoría inválida","OK")))</f>
        <v/>
      </c>
      <c r="G211" s="16">
        <f>IF($F211&lt;&gt;"OK","",IF(UPPER(TRIM($D211))="NO",INDEX(Cat_HMax,MATCH($C211,Cat_Nombre,0)),INDEX(Cat_HMin,MATCH($C211,Cat_Nombre,0))))</f>
        <v/>
      </c>
      <c r="H211" s="16">
        <f>IF($F211&lt;&gt;"OK","",INDEX(Cat_HMax,MATCH($C211,Cat_Nombre,0)))</f>
        <v/>
      </c>
      <c r="I211" s="16">
        <f>IF($F211&lt;&gt;"OK","",(G211+H211)/2)</f>
        <v/>
      </c>
      <c r="J211" s="16">
        <f>IF($F211&lt;&gt;"OK","",G211/HorasDia)</f>
        <v/>
      </c>
      <c r="K211" s="16">
        <f>IF($F211&lt;&gt;"OK","",I211/HorasDia)</f>
        <v/>
      </c>
      <c r="L211" s="16">
        <f>IF($F211&lt;&gt;"OK","",H211/HorasDia)</f>
        <v/>
      </c>
      <c r="M211" s="17">
        <f>IF($F211&lt;&gt;"OK","",IF(UPPER(TRIM($D211))="NO",INDEX(Cat_TMax,MATCH($C211,Cat_Nombre,0)),INDEX(Cat_TMin,MATCH($C211,Cat_Nombre,0))))</f>
        <v/>
      </c>
      <c r="N211" s="17">
        <f>IF($F211&lt;&gt;"OK","",INDEX(Cat_TMax,MATCH($C211,Cat_Nombre,0)))</f>
        <v/>
      </c>
      <c r="O211" s="18">
        <f>IF($F211&lt;&gt;"OK","",INDEX(Cat_POpus,MATCH($C211,Cat_Nombre,0)))</f>
        <v/>
      </c>
      <c r="P211" s="19">
        <f>IF($F211&lt;&gt;"OK","",M211/1000000*((1-O211)*UsdM_Sonnet+O211*UsdM_Opus))</f>
        <v/>
      </c>
      <c r="Q211" s="19">
        <f>IF($F211&lt;&gt;"OK","",N211/1000000*((1-O211)*UsdM_Sonnet+O211*UsdM_Opus))</f>
        <v/>
      </c>
      <c r="R211" s="19">
        <f>IF($F211&lt;&gt;"OK","",G211*TarifaHora)</f>
        <v/>
      </c>
      <c r="S211" s="19">
        <f>IF($F211&lt;&gt;"OK","",H211*TarifaHora)</f>
        <v/>
      </c>
      <c r="T211" s="10">
        <f>IF($F211&lt;&gt;"OK","",IF(COUNTIFS($A$2:$A211,$A211,$F$2:$F211,"OK")=1,MAX($T$1:$T210)+1,""))</f>
        <v/>
      </c>
    </row>
    <row r="212">
      <c r="A212" s="11" t="n"/>
      <c r="B212" s="11" t="n"/>
      <c r="C212" s="11" t="n"/>
      <c r="D212" s="11" t="n"/>
      <c r="E212" s="11" t="n"/>
      <c r="F212" s="10">
        <f>IF(AND($A212="",$B212="",$C212=""),"",IF($A212="","⚠ Falta hito",IF(ISNA(MATCH($C212,Cat_Nombre,0)),"⚠ Categoría inválida","OK")))</f>
        <v/>
      </c>
      <c r="G212" s="16">
        <f>IF($F212&lt;&gt;"OK","",IF(UPPER(TRIM($D212))="NO",INDEX(Cat_HMax,MATCH($C212,Cat_Nombre,0)),INDEX(Cat_HMin,MATCH($C212,Cat_Nombre,0))))</f>
        <v/>
      </c>
      <c r="H212" s="16">
        <f>IF($F212&lt;&gt;"OK","",INDEX(Cat_HMax,MATCH($C212,Cat_Nombre,0)))</f>
        <v/>
      </c>
      <c r="I212" s="16">
        <f>IF($F212&lt;&gt;"OK","",(G212+H212)/2)</f>
        <v/>
      </c>
      <c r="J212" s="16">
        <f>IF($F212&lt;&gt;"OK","",G212/HorasDia)</f>
        <v/>
      </c>
      <c r="K212" s="16">
        <f>IF($F212&lt;&gt;"OK","",I212/HorasDia)</f>
        <v/>
      </c>
      <c r="L212" s="16">
        <f>IF($F212&lt;&gt;"OK","",H212/HorasDia)</f>
        <v/>
      </c>
      <c r="M212" s="17">
        <f>IF($F212&lt;&gt;"OK","",IF(UPPER(TRIM($D212))="NO",INDEX(Cat_TMax,MATCH($C212,Cat_Nombre,0)),INDEX(Cat_TMin,MATCH($C212,Cat_Nombre,0))))</f>
        <v/>
      </c>
      <c r="N212" s="17">
        <f>IF($F212&lt;&gt;"OK","",INDEX(Cat_TMax,MATCH($C212,Cat_Nombre,0)))</f>
        <v/>
      </c>
      <c r="O212" s="18">
        <f>IF($F212&lt;&gt;"OK","",INDEX(Cat_POpus,MATCH($C212,Cat_Nombre,0)))</f>
        <v/>
      </c>
      <c r="P212" s="19">
        <f>IF($F212&lt;&gt;"OK","",M212/1000000*((1-O212)*UsdM_Sonnet+O212*UsdM_Opus))</f>
        <v/>
      </c>
      <c r="Q212" s="19">
        <f>IF($F212&lt;&gt;"OK","",N212/1000000*((1-O212)*UsdM_Sonnet+O212*UsdM_Opus))</f>
        <v/>
      </c>
      <c r="R212" s="19">
        <f>IF($F212&lt;&gt;"OK","",G212*TarifaHora)</f>
        <v/>
      </c>
      <c r="S212" s="19">
        <f>IF($F212&lt;&gt;"OK","",H212*TarifaHora)</f>
        <v/>
      </c>
      <c r="T212" s="10">
        <f>IF($F212&lt;&gt;"OK","",IF(COUNTIFS($A$2:$A212,$A212,$F$2:$F212,"OK")=1,MAX($T$1:$T211)+1,""))</f>
        <v/>
      </c>
    </row>
    <row r="213">
      <c r="A213" s="11" t="n"/>
      <c r="B213" s="11" t="n"/>
      <c r="C213" s="11" t="n"/>
      <c r="D213" s="11" t="n"/>
      <c r="E213" s="11" t="n"/>
      <c r="F213" s="10">
        <f>IF(AND($A213="",$B213="",$C213=""),"",IF($A213="","⚠ Falta hito",IF(ISNA(MATCH($C213,Cat_Nombre,0)),"⚠ Categoría inválida","OK")))</f>
        <v/>
      </c>
      <c r="G213" s="16">
        <f>IF($F213&lt;&gt;"OK","",IF(UPPER(TRIM($D213))="NO",INDEX(Cat_HMax,MATCH($C213,Cat_Nombre,0)),INDEX(Cat_HMin,MATCH($C213,Cat_Nombre,0))))</f>
        <v/>
      </c>
      <c r="H213" s="16">
        <f>IF($F213&lt;&gt;"OK","",INDEX(Cat_HMax,MATCH($C213,Cat_Nombre,0)))</f>
        <v/>
      </c>
      <c r="I213" s="16">
        <f>IF($F213&lt;&gt;"OK","",(G213+H213)/2)</f>
        <v/>
      </c>
      <c r="J213" s="16">
        <f>IF($F213&lt;&gt;"OK","",G213/HorasDia)</f>
        <v/>
      </c>
      <c r="K213" s="16">
        <f>IF($F213&lt;&gt;"OK","",I213/HorasDia)</f>
        <v/>
      </c>
      <c r="L213" s="16">
        <f>IF($F213&lt;&gt;"OK","",H213/HorasDia)</f>
        <v/>
      </c>
      <c r="M213" s="17">
        <f>IF($F213&lt;&gt;"OK","",IF(UPPER(TRIM($D213))="NO",INDEX(Cat_TMax,MATCH($C213,Cat_Nombre,0)),INDEX(Cat_TMin,MATCH($C213,Cat_Nombre,0))))</f>
        <v/>
      </c>
      <c r="N213" s="17">
        <f>IF($F213&lt;&gt;"OK","",INDEX(Cat_TMax,MATCH($C213,Cat_Nombre,0)))</f>
        <v/>
      </c>
      <c r="O213" s="18">
        <f>IF($F213&lt;&gt;"OK","",INDEX(Cat_POpus,MATCH($C213,Cat_Nombre,0)))</f>
        <v/>
      </c>
      <c r="P213" s="19">
        <f>IF($F213&lt;&gt;"OK","",M213/1000000*((1-O213)*UsdM_Sonnet+O213*UsdM_Opus))</f>
        <v/>
      </c>
      <c r="Q213" s="19">
        <f>IF($F213&lt;&gt;"OK","",N213/1000000*((1-O213)*UsdM_Sonnet+O213*UsdM_Opus))</f>
        <v/>
      </c>
      <c r="R213" s="19">
        <f>IF($F213&lt;&gt;"OK","",G213*TarifaHora)</f>
        <v/>
      </c>
      <c r="S213" s="19">
        <f>IF($F213&lt;&gt;"OK","",H213*TarifaHora)</f>
        <v/>
      </c>
      <c r="T213" s="10">
        <f>IF($F213&lt;&gt;"OK","",IF(COUNTIFS($A$2:$A213,$A213,$F$2:$F213,"OK")=1,MAX($T$1:$T212)+1,""))</f>
        <v/>
      </c>
    </row>
    <row r="214">
      <c r="A214" s="11" t="n"/>
      <c r="B214" s="11" t="n"/>
      <c r="C214" s="11" t="n"/>
      <c r="D214" s="11" t="n"/>
      <c r="E214" s="11" t="n"/>
      <c r="F214" s="10">
        <f>IF(AND($A214="",$B214="",$C214=""),"",IF($A214="","⚠ Falta hito",IF(ISNA(MATCH($C214,Cat_Nombre,0)),"⚠ Categoría inválida","OK")))</f>
        <v/>
      </c>
      <c r="G214" s="16">
        <f>IF($F214&lt;&gt;"OK","",IF(UPPER(TRIM($D214))="NO",INDEX(Cat_HMax,MATCH($C214,Cat_Nombre,0)),INDEX(Cat_HMin,MATCH($C214,Cat_Nombre,0))))</f>
        <v/>
      </c>
      <c r="H214" s="16">
        <f>IF($F214&lt;&gt;"OK","",INDEX(Cat_HMax,MATCH($C214,Cat_Nombre,0)))</f>
        <v/>
      </c>
      <c r="I214" s="16">
        <f>IF($F214&lt;&gt;"OK","",(G214+H214)/2)</f>
        <v/>
      </c>
      <c r="J214" s="16">
        <f>IF($F214&lt;&gt;"OK","",G214/HorasDia)</f>
        <v/>
      </c>
      <c r="K214" s="16">
        <f>IF($F214&lt;&gt;"OK","",I214/HorasDia)</f>
        <v/>
      </c>
      <c r="L214" s="16">
        <f>IF($F214&lt;&gt;"OK","",H214/HorasDia)</f>
        <v/>
      </c>
      <c r="M214" s="17">
        <f>IF($F214&lt;&gt;"OK","",IF(UPPER(TRIM($D214))="NO",INDEX(Cat_TMax,MATCH($C214,Cat_Nombre,0)),INDEX(Cat_TMin,MATCH($C214,Cat_Nombre,0))))</f>
        <v/>
      </c>
      <c r="N214" s="17">
        <f>IF($F214&lt;&gt;"OK","",INDEX(Cat_TMax,MATCH($C214,Cat_Nombre,0)))</f>
        <v/>
      </c>
      <c r="O214" s="18">
        <f>IF($F214&lt;&gt;"OK","",INDEX(Cat_POpus,MATCH($C214,Cat_Nombre,0)))</f>
        <v/>
      </c>
      <c r="P214" s="19">
        <f>IF($F214&lt;&gt;"OK","",M214/1000000*((1-O214)*UsdM_Sonnet+O214*UsdM_Opus))</f>
        <v/>
      </c>
      <c r="Q214" s="19">
        <f>IF($F214&lt;&gt;"OK","",N214/1000000*((1-O214)*UsdM_Sonnet+O214*UsdM_Opus))</f>
        <v/>
      </c>
      <c r="R214" s="19">
        <f>IF($F214&lt;&gt;"OK","",G214*TarifaHora)</f>
        <v/>
      </c>
      <c r="S214" s="19">
        <f>IF($F214&lt;&gt;"OK","",H214*TarifaHora)</f>
        <v/>
      </c>
      <c r="T214" s="10">
        <f>IF($F214&lt;&gt;"OK","",IF(COUNTIFS($A$2:$A214,$A214,$F$2:$F214,"OK")=1,MAX($T$1:$T213)+1,""))</f>
        <v/>
      </c>
    </row>
    <row r="215">
      <c r="A215" s="11" t="n"/>
      <c r="B215" s="11" t="n"/>
      <c r="C215" s="11" t="n"/>
      <c r="D215" s="11" t="n"/>
      <c r="E215" s="11" t="n"/>
      <c r="F215" s="10">
        <f>IF(AND($A215="",$B215="",$C215=""),"",IF($A215="","⚠ Falta hito",IF(ISNA(MATCH($C215,Cat_Nombre,0)),"⚠ Categoría inválida","OK")))</f>
        <v/>
      </c>
      <c r="G215" s="16">
        <f>IF($F215&lt;&gt;"OK","",IF(UPPER(TRIM($D215))="NO",INDEX(Cat_HMax,MATCH($C215,Cat_Nombre,0)),INDEX(Cat_HMin,MATCH($C215,Cat_Nombre,0))))</f>
        <v/>
      </c>
      <c r="H215" s="16">
        <f>IF($F215&lt;&gt;"OK","",INDEX(Cat_HMax,MATCH($C215,Cat_Nombre,0)))</f>
        <v/>
      </c>
      <c r="I215" s="16">
        <f>IF($F215&lt;&gt;"OK","",(G215+H215)/2)</f>
        <v/>
      </c>
      <c r="J215" s="16">
        <f>IF($F215&lt;&gt;"OK","",G215/HorasDia)</f>
        <v/>
      </c>
      <c r="K215" s="16">
        <f>IF($F215&lt;&gt;"OK","",I215/HorasDia)</f>
        <v/>
      </c>
      <c r="L215" s="16">
        <f>IF($F215&lt;&gt;"OK","",H215/HorasDia)</f>
        <v/>
      </c>
      <c r="M215" s="17">
        <f>IF($F215&lt;&gt;"OK","",IF(UPPER(TRIM($D215))="NO",INDEX(Cat_TMax,MATCH($C215,Cat_Nombre,0)),INDEX(Cat_TMin,MATCH($C215,Cat_Nombre,0))))</f>
        <v/>
      </c>
      <c r="N215" s="17">
        <f>IF($F215&lt;&gt;"OK","",INDEX(Cat_TMax,MATCH($C215,Cat_Nombre,0)))</f>
        <v/>
      </c>
      <c r="O215" s="18">
        <f>IF($F215&lt;&gt;"OK","",INDEX(Cat_POpus,MATCH($C215,Cat_Nombre,0)))</f>
        <v/>
      </c>
      <c r="P215" s="19">
        <f>IF($F215&lt;&gt;"OK","",M215/1000000*((1-O215)*UsdM_Sonnet+O215*UsdM_Opus))</f>
        <v/>
      </c>
      <c r="Q215" s="19">
        <f>IF($F215&lt;&gt;"OK","",N215/1000000*((1-O215)*UsdM_Sonnet+O215*UsdM_Opus))</f>
        <v/>
      </c>
      <c r="R215" s="19">
        <f>IF($F215&lt;&gt;"OK","",G215*TarifaHora)</f>
        <v/>
      </c>
      <c r="S215" s="19">
        <f>IF($F215&lt;&gt;"OK","",H215*TarifaHora)</f>
        <v/>
      </c>
      <c r="T215" s="10">
        <f>IF($F215&lt;&gt;"OK","",IF(COUNTIFS($A$2:$A215,$A215,$F$2:$F215,"OK")=1,MAX($T$1:$T214)+1,""))</f>
        <v/>
      </c>
    </row>
    <row r="216">
      <c r="A216" s="11" t="n"/>
      <c r="B216" s="11" t="n"/>
      <c r="C216" s="11" t="n"/>
      <c r="D216" s="11" t="n"/>
      <c r="E216" s="11" t="n"/>
      <c r="F216" s="10">
        <f>IF(AND($A216="",$B216="",$C216=""),"",IF($A216="","⚠ Falta hito",IF(ISNA(MATCH($C216,Cat_Nombre,0)),"⚠ Categoría inválida","OK")))</f>
        <v/>
      </c>
      <c r="G216" s="16">
        <f>IF($F216&lt;&gt;"OK","",IF(UPPER(TRIM($D216))="NO",INDEX(Cat_HMax,MATCH($C216,Cat_Nombre,0)),INDEX(Cat_HMin,MATCH($C216,Cat_Nombre,0))))</f>
        <v/>
      </c>
      <c r="H216" s="16">
        <f>IF($F216&lt;&gt;"OK","",INDEX(Cat_HMax,MATCH($C216,Cat_Nombre,0)))</f>
        <v/>
      </c>
      <c r="I216" s="16">
        <f>IF($F216&lt;&gt;"OK","",(G216+H216)/2)</f>
        <v/>
      </c>
      <c r="J216" s="16">
        <f>IF($F216&lt;&gt;"OK","",G216/HorasDia)</f>
        <v/>
      </c>
      <c r="K216" s="16">
        <f>IF($F216&lt;&gt;"OK","",I216/HorasDia)</f>
        <v/>
      </c>
      <c r="L216" s="16">
        <f>IF($F216&lt;&gt;"OK","",H216/HorasDia)</f>
        <v/>
      </c>
      <c r="M216" s="17">
        <f>IF($F216&lt;&gt;"OK","",IF(UPPER(TRIM($D216))="NO",INDEX(Cat_TMax,MATCH($C216,Cat_Nombre,0)),INDEX(Cat_TMin,MATCH($C216,Cat_Nombre,0))))</f>
        <v/>
      </c>
      <c r="N216" s="17">
        <f>IF($F216&lt;&gt;"OK","",INDEX(Cat_TMax,MATCH($C216,Cat_Nombre,0)))</f>
        <v/>
      </c>
      <c r="O216" s="18">
        <f>IF($F216&lt;&gt;"OK","",INDEX(Cat_POpus,MATCH($C216,Cat_Nombre,0)))</f>
        <v/>
      </c>
      <c r="P216" s="19">
        <f>IF($F216&lt;&gt;"OK","",M216/1000000*((1-O216)*UsdM_Sonnet+O216*UsdM_Opus))</f>
        <v/>
      </c>
      <c r="Q216" s="19">
        <f>IF($F216&lt;&gt;"OK","",N216/1000000*((1-O216)*UsdM_Sonnet+O216*UsdM_Opus))</f>
        <v/>
      </c>
      <c r="R216" s="19">
        <f>IF($F216&lt;&gt;"OK","",G216*TarifaHora)</f>
        <v/>
      </c>
      <c r="S216" s="19">
        <f>IF($F216&lt;&gt;"OK","",H216*TarifaHora)</f>
        <v/>
      </c>
      <c r="T216" s="10">
        <f>IF($F216&lt;&gt;"OK","",IF(COUNTIFS($A$2:$A216,$A216,$F$2:$F216,"OK")=1,MAX($T$1:$T215)+1,""))</f>
        <v/>
      </c>
    </row>
    <row r="217">
      <c r="A217" s="11" t="n"/>
      <c r="B217" s="11" t="n"/>
      <c r="C217" s="11" t="n"/>
      <c r="D217" s="11" t="n"/>
      <c r="E217" s="11" t="n"/>
      <c r="F217" s="10">
        <f>IF(AND($A217="",$B217="",$C217=""),"",IF($A217="","⚠ Falta hito",IF(ISNA(MATCH($C217,Cat_Nombre,0)),"⚠ Categoría inválida","OK")))</f>
        <v/>
      </c>
      <c r="G217" s="16">
        <f>IF($F217&lt;&gt;"OK","",IF(UPPER(TRIM($D217))="NO",INDEX(Cat_HMax,MATCH($C217,Cat_Nombre,0)),INDEX(Cat_HMin,MATCH($C217,Cat_Nombre,0))))</f>
        <v/>
      </c>
      <c r="H217" s="16">
        <f>IF($F217&lt;&gt;"OK","",INDEX(Cat_HMax,MATCH($C217,Cat_Nombre,0)))</f>
        <v/>
      </c>
      <c r="I217" s="16">
        <f>IF($F217&lt;&gt;"OK","",(G217+H217)/2)</f>
        <v/>
      </c>
      <c r="J217" s="16">
        <f>IF($F217&lt;&gt;"OK","",G217/HorasDia)</f>
        <v/>
      </c>
      <c r="K217" s="16">
        <f>IF($F217&lt;&gt;"OK","",I217/HorasDia)</f>
        <v/>
      </c>
      <c r="L217" s="16">
        <f>IF($F217&lt;&gt;"OK","",H217/HorasDia)</f>
        <v/>
      </c>
      <c r="M217" s="17">
        <f>IF($F217&lt;&gt;"OK","",IF(UPPER(TRIM($D217))="NO",INDEX(Cat_TMax,MATCH($C217,Cat_Nombre,0)),INDEX(Cat_TMin,MATCH($C217,Cat_Nombre,0))))</f>
        <v/>
      </c>
      <c r="N217" s="17">
        <f>IF($F217&lt;&gt;"OK","",INDEX(Cat_TMax,MATCH($C217,Cat_Nombre,0)))</f>
        <v/>
      </c>
      <c r="O217" s="18">
        <f>IF($F217&lt;&gt;"OK","",INDEX(Cat_POpus,MATCH($C217,Cat_Nombre,0)))</f>
        <v/>
      </c>
      <c r="P217" s="19">
        <f>IF($F217&lt;&gt;"OK","",M217/1000000*((1-O217)*UsdM_Sonnet+O217*UsdM_Opus))</f>
        <v/>
      </c>
      <c r="Q217" s="19">
        <f>IF($F217&lt;&gt;"OK","",N217/1000000*((1-O217)*UsdM_Sonnet+O217*UsdM_Opus))</f>
        <v/>
      </c>
      <c r="R217" s="19">
        <f>IF($F217&lt;&gt;"OK","",G217*TarifaHora)</f>
        <v/>
      </c>
      <c r="S217" s="19">
        <f>IF($F217&lt;&gt;"OK","",H217*TarifaHora)</f>
        <v/>
      </c>
      <c r="T217" s="10">
        <f>IF($F217&lt;&gt;"OK","",IF(COUNTIFS($A$2:$A217,$A217,$F$2:$F217,"OK")=1,MAX($T$1:$T216)+1,""))</f>
        <v/>
      </c>
    </row>
    <row r="218">
      <c r="A218" s="11" t="n"/>
      <c r="B218" s="11" t="n"/>
      <c r="C218" s="11" t="n"/>
      <c r="D218" s="11" t="n"/>
      <c r="E218" s="11" t="n"/>
      <c r="F218" s="10">
        <f>IF(AND($A218="",$B218="",$C218=""),"",IF($A218="","⚠ Falta hito",IF(ISNA(MATCH($C218,Cat_Nombre,0)),"⚠ Categoría inválida","OK")))</f>
        <v/>
      </c>
      <c r="G218" s="16">
        <f>IF($F218&lt;&gt;"OK","",IF(UPPER(TRIM($D218))="NO",INDEX(Cat_HMax,MATCH($C218,Cat_Nombre,0)),INDEX(Cat_HMin,MATCH($C218,Cat_Nombre,0))))</f>
        <v/>
      </c>
      <c r="H218" s="16">
        <f>IF($F218&lt;&gt;"OK","",INDEX(Cat_HMax,MATCH($C218,Cat_Nombre,0)))</f>
        <v/>
      </c>
      <c r="I218" s="16">
        <f>IF($F218&lt;&gt;"OK","",(G218+H218)/2)</f>
        <v/>
      </c>
      <c r="J218" s="16">
        <f>IF($F218&lt;&gt;"OK","",G218/HorasDia)</f>
        <v/>
      </c>
      <c r="K218" s="16">
        <f>IF($F218&lt;&gt;"OK","",I218/HorasDia)</f>
        <v/>
      </c>
      <c r="L218" s="16">
        <f>IF($F218&lt;&gt;"OK","",H218/HorasDia)</f>
        <v/>
      </c>
      <c r="M218" s="17">
        <f>IF($F218&lt;&gt;"OK","",IF(UPPER(TRIM($D218))="NO",INDEX(Cat_TMax,MATCH($C218,Cat_Nombre,0)),INDEX(Cat_TMin,MATCH($C218,Cat_Nombre,0))))</f>
        <v/>
      </c>
      <c r="N218" s="17">
        <f>IF($F218&lt;&gt;"OK","",INDEX(Cat_TMax,MATCH($C218,Cat_Nombre,0)))</f>
        <v/>
      </c>
      <c r="O218" s="18">
        <f>IF($F218&lt;&gt;"OK","",INDEX(Cat_POpus,MATCH($C218,Cat_Nombre,0)))</f>
        <v/>
      </c>
      <c r="P218" s="19">
        <f>IF($F218&lt;&gt;"OK","",M218/1000000*((1-O218)*UsdM_Sonnet+O218*UsdM_Opus))</f>
        <v/>
      </c>
      <c r="Q218" s="19">
        <f>IF($F218&lt;&gt;"OK","",N218/1000000*((1-O218)*UsdM_Sonnet+O218*UsdM_Opus))</f>
        <v/>
      </c>
      <c r="R218" s="19">
        <f>IF($F218&lt;&gt;"OK","",G218*TarifaHora)</f>
        <v/>
      </c>
      <c r="S218" s="19">
        <f>IF($F218&lt;&gt;"OK","",H218*TarifaHora)</f>
        <v/>
      </c>
      <c r="T218" s="10">
        <f>IF($F218&lt;&gt;"OK","",IF(COUNTIFS($A$2:$A218,$A218,$F$2:$F218,"OK")=1,MAX($T$1:$T217)+1,""))</f>
        <v/>
      </c>
    </row>
    <row r="219">
      <c r="A219" s="11" t="n"/>
      <c r="B219" s="11" t="n"/>
      <c r="C219" s="11" t="n"/>
      <c r="D219" s="11" t="n"/>
      <c r="E219" s="11" t="n"/>
      <c r="F219" s="10">
        <f>IF(AND($A219="",$B219="",$C219=""),"",IF($A219="","⚠ Falta hito",IF(ISNA(MATCH($C219,Cat_Nombre,0)),"⚠ Categoría inválida","OK")))</f>
        <v/>
      </c>
      <c r="G219" s="16">
        <f>IF($F219&lt;&gt;"OK","",IF(UPPER(TRIM($D219))="NO",INDEX(Cat_HMax,MATCH($C219,Cat_Nombre,0)),INDEX(Cat_HMin,MATCH($C219,Cat_Nombre,0))))</f>
        <v/>
      </c>
      <c r="H219" s="16">
        <f>IF($F219&lt;&gt;"OK","",INDEX(Cat_HMax,MATCH($C219,Cat_Nombre,0)))</f>
        <v/>
      </c>
      <c r="I219" s="16">
        <f>IF($F219&lt;&gt;"OK","",(G219+H219)/2)</f>
        <v/>
      </c>
      <c r="J219" s="16">
        <f>IF($F219&lt;&gt;"OK","",G219/HorasDia)</f>
        <v/>
      </c>
      <c r="K219" s="16">
        <f>IF($F219&lt;&gt;"OK","",I219/HorasDia)</f>
        <v/>
      </c>
      <c r="L219" s="16">
        <f>IF($F219&lt;&gt;"OK","",H219/HorasDia)</f>
        <v/>
      </c>
      <c r="M219" s="17">
        <f>IF($F219&lt;&gt;"OK","",IF(UPPER(TRIM($D219))="NO",INDEX(Cat_TMax,MATCH($C219,Cat_Nombre,0)),INDEX(Cat_TMin,MATCH($C219,Cat_Nombre,0))))</f>
        <v/>
      </c>
      <c r="N219" s="17">
        <f>IF($F219&lt;&gt;"OK","",INDEX(Cat_TMax,MATCH($C219,Cat_Nombre,0)))</f>
        <v/>
      </c>
      <c r="O219" s="18">
        <f>IF($F219&lt;&gt;"OK","",INDEX(Cat_POpus,MATCH($C219,Cat_Nombre,0)))</f>
        <v/>
      </c>
      <c r="P219" s="19">
        <f>IF($F219&lt;&gt;"OK","",M219/1000000*((1-O219)*UsdM_Sonnet+O219*UsdM_Opus))</f>
        <v/>
      </c>
      <c r="Q219" s="19">
        <f>IF($F219&lt;&gt;"OK","",N219/1000000*((1-O219)*UsdM_Sonnet+O219*UsdM_Opus))</f>
        <v/>
      </c>
      <c r="R219" s="19">
        <f>IF($F219&lt;&gt;"OK","",G219*TarifaHora)</f>
        <v/>
      </c>
      <c r="S219" s="19">
        <f>IF($F219&lt;&gt;"OK","",H219*TarifaHora)</f>
        <v/>
      </c>
      <c r="T219" s="10">
        <f>IF($F219&lt;&gt;"OK","",IF(COUNTIFS($A$2:$A219,$A219,$F$2:$F219,"OK")=1,MAX($T$1:$T218)+1,""))</f>
        <v/>
      </c>
    </row>
    <row r="220">
      <c r="A220" s="11" t="n"/>
      <c r="B220" s="11" t="n"/>
      <c r="C220" s="11" t="n"/>
      <c r="D220" s="11" t="n"/>
      <c r="E220" s="11" t="n"/>
      <c r="F220" s="10">
        <f>IF(AND($A220="",$B220="",$C220=""),"",IF($A220="","⚠ Falta hito",IF(ISNA(MATCH($C220,Cat_Nombre,0)),"⚠ Categoría inválida","OK")))</f>
        <v/>
      </c>
      <c r="G220" s="16">
        <f>IF($F220&lt;&gt;"OK","",IF(UPPER(TRIM($D220))="NO",INDEX(Cat_HMax,MATCH($C220,Cat_Nombre,0)),INDEX(Cat_HMin,MATCH($C220,Cat_Nombre,0))))</f>
        <v/>
      </c>
      <c r="H220" s="16">
        <f>IF($F220&lt;&gt;"OK","",INDEX(Cat_HMax,MATCH($C220,Cat_Nombre,0)))</f>
        <v/>
      </c>
      <c r="I220" s="16">
        <f>IF($F220&lt;&gt;"OK","",(G220+H220)/2)</f>
        <v/>
      </c>
      <c r="J220" s="16">
        <f>IF($F220&lt;&gt;"OK","",G220/HorasDia)</f>
        <v/>
      </c>
      <c r="K220" s="16">
        <f>IF($F220&lt;&gt;"OK","",I220/HorasDia)</f>
        <v/>
      </c>
      <c r="L220" s="16">
        <f>IF($F220&lt;&gt;"OK","",H220/HorasDia)</f>
        <v/>
      </c>
      <c r="M220" s="17">
        <f>IF($F220&lt;&gt;"OK","",IF(UPPER(TRIM($D220))="NO",INDEX(Cat_TMax,MATCH($C220,Cat_Nombre,0)),INDEX(Cat_TMin,MATCH($C220,Cat_Nombre,0))))</f>
        <v/>
      </c>
      <c r="N220" s="17">
        <f>IF($F220&lt;&gt;"OK","",INDEX(Cat_TMax,MATCH($C220,Cat_Nombre,0)))</f>
        <v/>
      </c>
      <c r="O220" s="18">
        <f>IF($F220&lt;&gt;"OK","",INDEX(Cat_POpus,MATCH($C220,Cat_Nombre,0)))</f>
        <v/>
      </c>
      <c r="P220" s="19">
        <f>IF($F220&lt;&gt;"OK","",M220/1000000*((1-O220)*UsdM_Sonnet+O220*UsdM_Opus))</f>
        <v/>
      </c>
      <c r="Q220" s="19">
        <f>IF($F220&lt;&gt;"OK","",N220/1000000*((1-O220)*UsdM_Sonnet+O220*UsdM_Opus))</f>
        <v/>
      </c>
      <c r="R220" s="19">
        <f>IF($F220&lt;&gt;"OK","",G220*TarifaHora)</f>
        <v/>
      </c>
      <c r="S220" s="19">
        <f>IF($F220&lt;&gt;"OK","",H220*TarifaHora)</f>
        <v/>
      </c>
      <c r="T220" s="10">
        <f>IF($F220&lt;&gt;"OK","",IF(COUNTIFS($A$2:$A220,$A220,$F$2:$F220,"OK")=1,MAX($T$1:$T219)+1,""))</f>
        <v/>
      </c>
    </row>
    <row r="221">
      <c r="A221" s="11" t="n"/>
      <c r="B221" s="11" t="n"/>
      <c r="C221" s="11" t="n"/>
      <c r="D221" s="11" t="n"/>
      <c r="E221" s="11" t="n"/>
      <c r="F221" s="10">
        <f>IF(AND($A221="",$B221="",$C221=""),"",IF($A221="","⚠ Falta hito",IF(ISNA(MATCH($C221,Cat_Nombre,0)),"⚠ Categoría inválida","OK")))</f>
        <v/>
      </c>
      <c r="G221" s="16">
        <f>IF($F221&lt;&gt;"OK","",IF(UPPER(TRIM($D221))="NO",INDEX(Cat_HMax,MATCH($C221,Cat_Nombre,0)),INDEX(Cat_HMin,MATCH($C221,Cat_Nombre,0))))</f>
        <v/>
      </c>
      <c r="H221" s="16">
        <f>IF($F221&lt;&gt;"OK","",INDEX(Cat_HMax,MATCH($C221,Cat_Nombre,0)))</f>
        <v/>
      </c>
      <c r="I221" s="16">
        <f>IF($F221&lt;&gt;"OK","",(G221+H221)/2)</f>
        <v/>
      </c>
      <c r="J221" s="16">
        <f>IF($F221&lt;&gt;"OK","",G221/HorasDia)</f>
        <v/>
      </c>
      <c r="K221" s="16">
        <f>IF($F221&lt;&gt;"OK","",I221/HorasDia)</f>
        <v/>
      </c>
      <c r="L221" s="16">
        <f>IF($F221&lt;&gt;"OK","",H221/HorasDia)</f>
        <v/>
      </c>
      <c r="M221" s="17">
        <f>IF($F221&lt;&gt;"OK","",IF(UPPER(TRIM($D221))="NO",INDEX(Cat_TMax,MATCH($C221,Cat_Nombre,0)),INDEX(Cat_TMin,MATCH($C221,Cat_Nombre,0))))</f>
        <v/>
      </c>
      <c r="N221" s="17">
        <f>IF($F221&lt;&gt;"OK","",INDEX(Cat_TMax,MATCH($C221,Cat_Nombre,0)))</f>
        <v/>
      </c>
      <c r="O221" s="18">
        <f>IF($F221&lt;&gt;"OK","",INDEX(Cat_POpus,MATCH($C221,Cat_Nombre,0)))</f>
        <v/>
      </c>
      <c r="P221" s="19">
        <f>IF($F221&lt;&gt;"OK","",M221/1000000*((1-O221)*UsdM_Sonnet+O221*UsdM_Opus))</f>
        <v/>
      </c>
      <c r="Q221" s="19">
        <f>IF($F221&lt;&gt;"OK","",N221/1000000*((1-O221)*UsdM_Sonnet+O221*UsdM_Opus))</f>
        <v/>
      </c>
      <c r="R221" s="19">
        <f>IF($F221&lt;&gt;"OK","",G221*TarifaHora)</f>
        <v/>
      </c>
      <c r="S221" s="19">
        <f>IF($F221&lt;&gt;"OK","",H221*TarifaHora)</f>
        <v/>
      </c>
      <c r="T221" s="10">
        <f>IF($F221&lt;&gt;"OK","",IF(COUNTIFS($A$2:$A221,$A221,$F$2:$F221,"OK")=1,MAX($T$1:$T220)+1,""))</f>
        <v/>
      </c>
    </row>
    <row r="222">
      <c r="A222" s="11" t="n"/>
      <c r="B222" s="11" t="n"/>
      <c r="C222" s="11" t="n"/>
      <c r="D222" s="11" t="n"/>
      <c r="E222" s="11" t="n"/>
      <c r="F222" s="10">
        <f>IF(AND($A222="",$B222="",$C222=""),"",IF($A222="","⚠ Falta hito",IF(ISNA(MATCH($C222,Cat_Nombre,0)),"⚠ Categoría inválida","OK")))</f>
        <v/>
      </c>
      <c r="G222" s="16">
        <f>IF($F222&lt;&gt;"OK","",IF(UPPER(TRIM($D222))="NO",INDEX(Cat_HMax,MATCH($C222,Cat_Nombre,0)),INDEX(Cat_HMin,MATCH($C222,Cat_Nombre,0))))</f>
        <v/>
      </c>
      <c r="H222" s="16">
        <f>IF($F222&lt;&gt;"OK","",INDEX(Cat_HMax,MATCH($C222,Cat_Nombre,0)))</f>
        <v/>
      </c>
      <c r="I222" s="16">
        <f>IF($F222&lt;&gt;"OK","",(G222+H222)/2)</f>
        <v/>
      </c>
      <c r="J222" s="16">
        <f>IF($F222&lt;&gt;"OK","",G222/HorasDia)</f>
        <v/>
      </c>
      <c r="K222" s="16">
        <f>IF($F222&lt;&gt;"OK","",I222/HorasDia)</f>
        <v/>
      </c>
      <c r="L222" s="16">
        <f>IF($F222&lt;&gt;"OK","",H222/HorasDia)</f>
        <v/>
      </c>
      <c r="M222" s="17">
        <f>IF($F222&lt;&gt;"OK","",IF(UPPER(TRIM($D222))="NO",INDEX(Cat_TMax,MATCH($C222,Cat_Nombre,0)),INDEX(Cat_TMin,MATCH($C222,Cat_Nombre,0))))</f>
        <v/>
      </c>
      <c r="N222" s="17">
        <f>IF($F222&lt;&gt;"OK","",INDEX(Cat_TMax,MATCH($C222,Cat_Nombre,0)))</f>
        <v/>
      </c>
      <c r="O222" s="18">
        <f>IF($F222&lt;&gt;"OK","",INDEX(Cat_POpus,MATCH($C222,Cat_Nombre,0)))</f>
        <v/>
      </c>
      <c r="P222" s="19">
        <f>IF($F222&lt;&gt;"OK","",M222/1000000*((1-O222)*UsdM_Sonnet+O222*UsdM_Opus))</f>
        <v/>
      </c>
      <c r="Q222" s="19">
        <f>IF($F222&lt;&gt;"OK","",N222/1000000*((1-O222)*UsdM_Sonnet+O222*UsdM_Opus))</f>
        <v/>
      </c>
      <c r="R222" s="19">
        <f>IF($F222&lt;&gt;"OK","",G222*TarifaHora)</f>
        <v/>
      </c>
      <c r="S222" s="19">
        <f>IF($F222&lt;&gt;"OK","",H222*TarifaHora)</f>
        <v/>
      </c>
      <c r="T222" s="10">
        <f>IF($F222&lt;&gt;"OK","",IF(COUNTIFS($A$2:$A222,$A222,$F$2:$F222,"OK")=1,MAX($T$1:$T221)+1,""))</f>
        <v/>
      </c>
    </row>
    <row r="223">
      <c r="A223" s="11" t="n"/>
      <c r="B223" s="11" t="n"/>
      <c r="C223" s="11" t="n"/>
      <c r="D223" s="11" t="n"/>
      <c r="E223" s="11" t="n"/>
      <c r="F223" s="10">
        <f>IF(AND($A223="",$B223="",$C223=""),"",IF($A223="","⚠ Falta hito",IF(ISNA(MATCH($C223,Cat_Nombre,0)),"⚠ Categoría inválida","OK")))</f>
        <v/>
      </c>
      <c r="G223" s="16">
        <f>IF($F223&lt;&gt;"OK","",IF(UPPER(TRIM($D223))="NO",INDEX(Cat_HMax,MATCH($C223,Cat_Nombre,0)),INDEX(Cat_HMin,MATCH($C223,Cat_Nombre,0))))</f>
        <v/>
      </c>
      <c r="H223" s="16">
        <f>IF($F223&lt;&gt;"OK","",INDEX(Cat_HMax,MATCH($C223,Cat_Nombre,0)))</f>
        <v/>
      </c>
      <c r="I223" s="16">
        <f>IF($F223&lt;&gt;"OK","",(G223+H223)/2)</f>
        <v/>
      </c>
      <c r="J223" s="16">
        <f>IF($F223&lt;&gt;"OK","",G223/HorasDia)</f>
        <v/>
      </c>
      <c r="K223" s="16">
        <f>IF($F223&lt;&gt;"OK","",I223/HorasDia)</f>
        <v/>
      </c>
      <c r="L223" s="16">
        <f>IF($F223&lt;&gt;"OK","",H223/HorasDia)</f>
        <v/>
      </c>
      <c r="M223" s="17">
        <f>IF($F223&lt;&gt;"OK","",IF(UPPER(TRIM($D223))="NO",INDEX(Cat_TMax,MATCH($C223,Cat_Nombre,0)),INDEX(Cat_TMin,MATCH($C223,Cat_Nombre,0))))</f>
        <v/>
      </c>
      <c r="N223" s="17">
        <f>IF($F223&lt;&gt;"OK","",INDEX(Cat_TMax,MATCH($C223,Cat_Nombre,0)))</f>
        <v/>
      </c>
      <c r="O223" s="18">
        <f>IF($F223&lt;&gt;"OK","",INDEX(Cat_POpus,MATCH($C223,Cat_Nombre,0)))</f>
        <v/>
      </c>
      <c r="P223" s="19">
        <f>IF($F223&lt;&gt;"OK","",M223/1000000*((1-O223)*UsdM_Sonnet+O223*UsdM_Opus))</f>
        <v/>
      </c>
      <c r="Q223" s="19">
        <f>IF($F223&lt;&gt;"OK","",N223/1000000*((1-O223)*UsdM_Sonnet+O223*UsdM_Opus))</f>
        <v/>
      </c>
      <c r="R223" s="19">
        <f>IF($F223&lt;&gt;"OK","",G223*TarifaHora)</f>
        <v/>
      </c>
      <c r="S223" s="19">
        <f>IF($F223&lt;&gt;"OK","",H223*TarifaHora)</f>
        <v/>
      </c>
      <c r="T223" s="10">
        <f>IF($F223&lt;&gt;"OK","",IF(COUNTIFS($A$2:$A223,$A223,$F$2:$F223,"OK")=1,MAX($T$1:$T222)+1,""))</f>
        <v/>
      </c>
    </row>
    <row r="224">
      <c r="A224" s="11" t="n"/>
      <c r="B224" s="11" t="n"/>
      <c r="C224" s="11" t="n"/>
      <c r="D224" s="11" t="n"/>
      <c r="E224" s="11" t="n"/>
      <c r="F224" s="10">
        <f>IF(AND($A224="",$B224="",$C224=""),"",IF($A224="","⚠ Falta hito",IF(ISNA(MATCH($C224,Cat_Nombre,0)),"⚠ Categoría inválida","OK")))</f>
        <v/>
      </c>
      <c r="G224" s="16">
        <f>IF($F224&lt;&gt;"OK","",IF(UPPER(TRIM($D224))="NO",INDEX(Cat_HMax,MATCH($C224,Cat_Nombre,0)),INDEX(Cat_HMin,MATCH($C224,Cat_Nombre,0))))</f>
        <v/>
      </c>
      <c r="H224" s="16">
        <f>IF($F224&lt;&gt;"OK","",INDEX(Cat_HMax,MATCH($C224,Cat_Nombre,0)))</f>
        <v/>
      </c>
      <c r="I224" s="16">
        <f>IF($F224&lt;&gt;"OK","",(G224+H224)/2)</f>
        <v/>
      </c>
      <c r="J224" s="16">
        <f>IF($F224&lt;&gt;"OK","",G224/HorasDia)</f>
        <v/>
      </c>
      <c r="K224" s="16">
        <f>IF($F224&lt;&gt;"OK","",I224/HorasDia)</f>
        <v/>
      </c>
      <c r="L224" s="16">
        <f>IF($F224&lt;&gt;"OK","",H224/HorasDia)</f>
        <v/>
      </c>
      <c r="M224" s="17">
        <f>IF($F224&lt;&gt;"OK","",IF(UPPER(TRIM($D224))="NO",INDEX(Cat_TMax,MATCH($C224,Cat_Nombre,0)),INDEX(Cat_TMin,MATCH($C224,Cat_Nombre,0))))</f>
        <v/>
      </c>
      <c r="N224" s="17">
        <f>IF($F224&lt;&gt;"OK","",INDEX(Cat_TMax,MATCH($C224,Cat_Nombre,0)))</f>
        <v/>
      </c>
      <c r="O224" s="18">
        <f>IF($F224&lt;&gt;"OK","",INDEX(Cat_POpus,MATCH($C224,Cat_Nombre,0)))</f>
        <v/>
      </c>
      <c r="P224" s="19">
        <f>IF($F224&lt;&gt;"OK","",M224/1000000*((1-O224)*UsdM_Sonnet+O224*UsdM_Opus))</f>
        <v/>
      </c>
      <c r="Q224" s="19">
        <f>IF($F224&lt;&gt;"OK","",N224/1000000*((1-O224)*UsdM_Sonnet+O224*UsdM_Opus))</f>
        <v/>
      </c>
      <c r="R224" s="19">
        <f>IF($F224&lt;&gt;"OK","",G224*TarifaHora)</f>
        <v/>
      </c>
      <c r="S224" s="19">
        <f>IF($F224&lt;&gt;"OK","",H224*TarifaHora)</f>
        <v/>
      </c>
      <c r="T224" s="10">
        <f>IF($F224&lt;&gt;"OK","",IF(COUNTIFS($A$2:$A224,$A224,$F$2:$F224,"OK")=1,MAX($T$1:$T223)+1,""))</f>
        <v/>
      </c>
    </row>
    <row r="225">
      <c r="A225" s="11" t="n"/>
      <c r="B225" s="11" t="n"/>
      <c r="C225" s="11" t="n"/>
      <c r="D225" s="11" t="n"/>
      <c r="E225" s="11" t="n"/>
      <c r="F225" s="10">
        <f>IF(AND($A225="",$B225="",$C225=""),"",IF($A225="","⚠ Falta hito",IF(ISNA(MATCH($C225,Cat_Nombre,0)),"⚠ Categoría inválida","OK")))</f>
        <v/>
      </c>
      <c r="G225" s="16">
        <f>IF($F225&lt;&gt;"OK","",IF(UPPER(TRIM($D225))="NO",INDEX(Cat_HMax,MATCH($C225,Cat_Nombre,0)),INDEX(Cat_HMin,MATCH($C225,Cat_Nombre,0))))</f>
        <v/>
      </c>
      <c r="H225" s="16">
        <f>IF($F225&lt;&gt;"OK","",INDEX(Cat_HMax,MATCH($C225,Cat_Nombre,0)))</f>
        <v/>
      </c>
      <c r="I225" s="16">
        <f>IF($F225&lt;&gt;"OK","",(G225+H225)/2)</f>
        <v/>
      </c>
      <c r="J225" s="16">
        <f>IF($F225&lt;&gt;"OK","",G225/HorasDia)</f>
        <v/>
      </c>
      <c r="K225" s="16">
        <f>IF($F225&lt;&gt;"OK","",I225/HorasDia)</f>
        <v/>
      </c>
      <c r="L225" s="16">
        <f>IF($F225&lt;&gt;"OK","",H225/HorasDia)</f>
        <v/>
      </c>
      <c r="M225" s="17">
        <f>IF($F225&lt;&gt;"OK","",IF(UPPER(TRIM($D225))="NO",INDEX(Cat_TMax,MATCH($C225,Cat_Nombre,0)),INDEX(Cat_TMin,MATCH($C225,Cat_Nombre,0))))</f>
        <v/>
      </c>
      <c r="N225" s="17">
        <f>IF($F225&lt;&gt;"OK","",INDEX(Cat_TMax,MATCH($C225,Cat_Nombre,0)))</f>
        <v/>
      </c>
      <c r="O225" s="18">
        <f>IF($F225&lt;&gt;"OK","",INDEX(Cat_POpus,MATCH($C225,Cat_Nombre,0)))</f>
        <v/>
      </c>
      <c r="P225" s="19">
        <f>IF($F225&lt;&gt;"OK","",M225/1000000*((1-O225)*UsdM_Sonnet+O225*UsdM_Opus))</f>
        <v/>
      </c>
      <c r="Q225" s="19">
        <f>IF($F225&lt;&gt;"OK","",N225/1000000*((1-O225)*UsdM_Sonnet+O225*UsdM_Opus))</f>
        <v/>
      </c>
      <c r="R225" s="19">
        <f>IF($F225&lt;&gt;"OK","",G225*TarifaHora)</f>
        <v/>
      </c>
      <c r="S225" s="19">
        <f>IF($F225&lt;&gt;"OK","",H225*TarifaHora)</f>
        <v/>
      </c>
      <c r="T225" s="10">
        <f>IF($F225&lt;&gt;"OK","",IF(COUNTIFS($A$2:$A225,$A225,$F$2:$F225,"OK")=1,MAX($T$1:$T224)+1,""))</f>
        <v/>
      </c>
    </row>
    <row r="226">
      <c r="A226" s="11" t="n"/>
      <c r="B226" s="11" t="n"/>
      <c r="C226" s="11" t="n"/>
      <c r="D226" s="11" t="n"/>
      <c r="E226" s="11" t="n"/>
      <c r="F226" s="10">
        <f>IF(AND($A226="",$B226="",$C226=""),"",IF($A226="","⚠ Falta hito",IF(ISNA(MATCH($C226,Cat_Nombre,0)),"⚠ Categoría inválida","OK")))</f>
        <v/>
      </c>
      <c r="G226" s="16">
        <f>IF($F226&lt;&gt;"OK","",IF(UPPER(TRIM($D226))="NO",INDEX(Cat_HMax,MATCH($C226,Cat_Nombre,0)),INDEX(Cat_HMin,MATCH($C226,Cat_Nombre,0))))</f>
        <v/>
      </c>
      <c r="H226" s="16">
        <f>IF($F226&lt;&gt;"OK","",INDEX(Cat_HMax,MATCH($C226,Cat_Nombre,0)))</f>
        <v/>
      </c>
      <c r="I226" s="16">
        <f>IF($F226&lt;&gt;"OK","",(G226+H226)/2)</f>
        <v/>
      </c>
      <c r="J226" s="16">
        <f>IF($F226&lt;&gt;"OK","",G226/HorasDia)</f>
        <v/>
      </c>
      <c r="K226" s="16">
        <f>IF($F226&lt;&gt;"OK","",I226/HorasDia)</f>
        <v/>
      </c>
      <c r="L226" s="16">
        <f>IF($F226&lt;&gt;"OK","",H226/HorasDia)</f>
        <v/>
      </c>
      <c r="M226" s="17">
        <f>IF($F226&lt;&gt;"OK","",IF(UPPER(TRIM($D226))="NO",INDEX(Cat_TMax,MATCH($C226,Cat_Nombre,0)),INDEX(Cat_TMin,MATCH($C226,Cat_Nombre,0))))</f>
        <v/>
      </c>
      <c r="N226" s="17">
        <f>IF($F226&lt;&gt;"OK","",INDEX(Cat_TMax,MATCH($C226,Cat_Nombre,0)))</f>
        <v/>
      </c>
      <c r="O226" s="18">
        <f>IF($F226&lt;&gt;"OK","",INDEX(Cat_POpus,MATCH($C226,Cat_Nombre,0)))</f>
        <v/>
      </c>
      <c r="P226" s="19">
        <f>IF($F226&lt;&gt;"OK","",M226/1000000*((1-O226)*UsdM_Sonnet+O226*UsdM_Opus))</f>
        <v/>
      </c>
      <c r="Q226" s="19">
        <f>IF($F226&lt;&gt;"OK","",N226/1000000*((1-O226)*UsdM_Sonnet+O226*UsdM_Opus))</f>
        <v/>
      </c>
      <c r="R226" s="19">
        <f>IF($F226&lt;&gt;"OK","",G226*TarifaHora)</f>
        <v/>
      </c>
      <c r="S226" s="19">
        <f>IF($F226&lt;&gt;"OK","",H226*TarifaHora)</f>
        <v/>
      </c>
      <c r="T226" s="10">
        <f>IF($F226&lt;&gt;"OK","",IF(COUNTIFS($A$2:$A226,$A226,$F$2:$F226,"OK")=1,MAX($T$1:$T225)+1,""))</f>
        <v/>
      </c>
    </row>
    <row r="227">
      <c r="A227" s="11" t="n"/>
      <c r="B227" s="11" t="n"/>
      <c r="C227" s="11" t="n"/>
      <c r="D227" s="11" t="n"/>
      <c r="E227" s="11" t="n"/>
      <c r="F227" s="10">
        <f>IF(AND($A227="",$B227="",$C227=""),"",IF($A227="","⚠ Falta hito",IF(ISNA(MATCH($C227,Cat_Nombre,0)),"⚠ Categoría inválida","OK")))</f>
        <v/>
      </c>
      <c r="G227" s="16">
        <f>IF($F227&lt;&gt;"OK","",IF(UPPER(TRIM($D227))="NO",INDEX(Cat_HMax,MATCH($C227,Cat_Nombre,0)),INDEX(Cat_HMin,MATCH($C227,Cat_Nombre,0))))</f>
        <v/>
      </c>
      <c r="H227" s="16">
        <f>IF($F227&lt;&gt;"OK","",INDEX(Cat_HMax,MATCH($C227,Cat_Nombre,0)))</f>
        <v/>
      </c>
      <c r="I227" s="16">
        <f>IF($F227&lt;&gt;"OK","",(G227+H227)/2)</f>
        <v/>
      </c>
      <c r="J227" s="16">
        <f>IF($F227&lt;&gt;"OK","",G227/HorasDia)</f>
        <v/>
      </c>
      <c r="K227" s="16">
        <f>IF($F227&lt;&gt;"OK","",I227/HorasDia)</f>
        <v/>
      </c>
      <c r="L227" s="16">
        <f>IF($F227&lt;&gt;"OK","",H227/HorasDia)</f>
        <v/>
      </c>
      <c r="M227" s="17">
        <f>IF($F227&lt;&gt;"OK","",IF(UPPER(TRIM($D227))="NO",INDEX(Cat_TMax,MATCH($C227,Cat_Nombre,0)),INDEX(Cat_TMin,MATCH($C227,Cat_Nombre,0))))</f>
        <v/>
      </c>
      <c r="N227" s="17">
        <f>IF($F227&lt;&gt;"OK","",INDEX(Cat_TMax,MATCH($C227,Cat_Nombre,0)))</f>
        <v/>
      </c>
      <c r="O227" s="18">
        <f>IF($F227&lt;&gt;"OK","",INDEX(Cat_POpus,MATCH($C227,Cat_Nombre,0)))</f>
        <v/>
      </c>
      <c r="P227" s="19">
        <f>IF($F227&lt;&gt;"OK","",M227/1000000*((1-O227)*UsdM_Sonnet+O227*UsdM_Opus))</f>
        <v/>
      </c>
      <c r="Q227" s="19">
        <f>IF($F227&lt;&gt;"OK","",N227/1000000*((1-O227)*UsdM_Sonnet+O227*UsdM_Opus))</f>
        <v/>
      </c>
      <c r="R227" s="19">
        <f>IF($F227&lt;&gt;"OK","",G227*TarifaHora)</f>
        <v/>
      </c>
      <c r="S227" s="19">
        <f>IF($F227&lt;&gt;"OK","",H227*TarifaHora)</f>
        <v/>
      </c>
      <c r="T227" s="10">
        <f>IF($F227&lt;&gt;"OK","",IF(COUNTIFS($A$2:$A227,$A227,$F$2:$F227,"OK")=1,MAX($T$1:$T226)+1,""))</f>
        <v/>
      </c>
    </row>
    <row r="228">
      <c r="A228" s="11" t="n"/>
      <c r="B228" s="11" t="n"/>
      <c r="C228" s="11" t="n"/>
      <c r="D228" s="11" t="n"/>
      <c r="E228" s="11" t="n"/>
      <c r="F228" s="10">
        <f>IF(AND($A228="",$B228="",$C228=""),"",IF($A228="","⚠ Falta hito",IF(ISNA(MATCH($C228,Cat_Nombre,0)),"⚠ Categoría inválida","OK")))</f>
        <v/>
      </c>
      <c r="G228" s="16">
        <f>IF($F228&lt;&gt;"OK","",IF(UPPER(TRIM($D228))="NO",INDEX(Cat_HMax,MATCH($C228,Cat_Nombre,0)),INDEX(Cat_HMin,MATCH($C228,Cat_Nombre,0))))</f>
        <v/>
      </c>
      <c r="H228" s="16">
        <f>IF($F228&lt;&gt;"OK","",INDEX(Cat_HMax,MATCH($C228,Cat_Nombre,0)))</f>
        <v/>
      </c>
      <c r="I228" s="16">
        <f>IF($F228&lt;&gt;"OK","",(G228+H228)/2)</f>
        <v/>
      </c>
      <c r="J228" s="16">
        <f>IF($F228&lt;&gt;"OK","",G228/HorasDia)</f>
        <v/>
      </c>
      <c r="K228" s="16">
        <f>IF($F228&lt;&gt;"OK","",I228/HorasDia)</f>
        <v/>
      </c>
      <c r="L228" s="16">
        <f>IF($F228&lt;&gt;"OK","",H228/HorasDia)</f>
        <v/>
      </c>
      <c r="M228" s="17">
        <f>IF($F228&lt;&gt;"OK","",IF(UPPER(TRIM($D228))="NO",INDEX(Cat_TMax,MATCH($C228,Cat_Nombre,0)),INDEX(Cat_TMin,MATCH($C228,Cat_Nombre,0))))</f>
        <v/>
      </c>
      <c r="N228" s="17">
        <f>IF($F228&lt;&gt;"OK","",INDEX(Cat_TMax,MATCH($C228,Cat_Nombre,0)))</f>
        <v/>
      </c>
      <c r="O228" s="18">
        <f>IF($F228&lt;&gt;"OK","",INDEX(Cat_POpus,MATCH($C228,Cat_Nombre,0)))</f>
        <v/>
      </c>
      <c r="P228" s="19">
        <f>IF($F228&lt;&gt;"OK","",M228/1000000*((1-O228)*UsdM_Sonnet+O228*UsdM_Opus))</f>
        <v/>
      </c>
      <c r="Q228" s="19">
        <f>IF($F228&lt;&gt;"OK","",N228/1000000*((1-O228)*UsdM_Sonnet+O228*UsdM_Opus))</f>
        <v/>
      </c>
      <c r="R228" s="19">
        <f>IF($F228&lt;&gt;"OK","",G228*TarifaHora)</f>
        <v/>
      </c>
      <c r="S228" s="19">
        <f>IF($F228&lt;&gt;"OK","",H228*TarifaHora)</f>
        <v/>
      </c>
      <c r="T228" s="10">
        <f>IF($F228&lt;&gt;"OK","",IF(COUNTIFS($A$2:$A228,$A228,$F$2:$F228,"OK")=1,MAX($T$1:$T227)+1,""))</f>
        <v/>
      </c>
    </row>
    <row r="229">
      <c r="A229" s="11" t="n"/>
      <c r="B229" s="11" t="n"/>
      <c r="C229" s="11" t="n"/>
      <c r="D229" s="11" t="n"/>
      <c r="E229" s="11" t="n"/>
      <c r="F229" s="10">
        <f>IF(AND($A229="",$B229="",$C229=""),"",IF($A229="","⚠ Falta hito",IF(ISNA(MATCH($C229,Cat_Nombre,0)),"⚠ Categoría inválida","OK")))</f>
        <v/>
      </c>
      <c r="G229" s="16">
        <f>IF($F229&lt;&gt;"OK","",IF(UPPER(TRIM($D229))="NO",INDEX(Cat_HMax,MATCH($C229,Cat_Nombre,0)),INDEX(Cat_HMin,MATCH($C229,Cat_Nombre,0))))</f>
        <v/>
      </c>
      <c r="H229" s="16">
        <f>IF($F229&lt;&gt;"OK","",INDEX(Cat_HMax,MATCH($C229,Cat_Nombre,0)))</f>
        <v/>
      </c>
      <c r="I229" s="16">
        <f>IF($F229&lt;&gt;"OK","",(G229+H229)/2)</f>
        <v/>
      </c>
      <c r="J229" s="16">
        <f>IF($F229&lt;&gt;"OK","",G229/HorasDia)</f>
        <v/>
      </c>
      <c r="K229" s="16">
        <f>IF($F229&lt;&gt;"OK","",I229/HorasDia)</f>
        <v/>
      </c>
      <c r="L229" s="16">
        <f>IF($F229&lt;&gt;"OK","",H229/HorasDia)</f>
        <v/>
      </c>
      <c r="M229" s="17">
        <f>IF($F229&lt;&gt;"OK","",IF(UPPER(TRIM($D229))="NO",INDEX(Cat_TMax,MATCH($C229,Cat_Nombre,0)),INDEX(Cat_TMin,MATCH($C229,Cat_Nombre,0))))</f>
        <v/>
      </c>
      <c r="N229" s="17">
        <f>IF($F229&lt;&gt;"OK","",INDEX(Cat_TMax,MATCH($C229,Cat_Nombre,0)))</f>
        <v/>
      </c>
      <c r="O229" s="18">
        <f>IF($F229&lt;&gt;"OK","",INDEX(Cat_POpus,MATCH($C229,Cat_Nombre,0)))</f>
        <v/>
      </c>
      <c r="P229" s="19">
        <f>IF($F229&lt;&gt;"OK","",M229/1000000*((1-O229)*UsdM_Sonnet+O229*UsdM_Opus))</f>
        <v/>
      </c>
      <c r="Q229" s="19">
        <f>IF($F229&lt;&gt;"OK","",N229/1000000*((1-O229)*UsdM_Sonnet+O229*UsdM_Opus))</f>
        <v/>
      </c>
      <c r="R229" s="19">
        <f>IF($F229&lt;&gt;"OK","",G229*TarifaHora)</f>
        <v/>
      </c>
      <c r="S229" s="19">
        <f>IF($F229&lt;&gt;"OK","",H229*TarifaHora)</f>
        <v/>
      </c>
      <c r="T229" s="10">
        <f>IF($F229&lt;&gt;"OK","",IF(COUNTIFS($A$2:$A229,$A229,$F$2:$F229,"OK")=1,MAX($T$1:$T228)+1,""))</f>
        <v/>
      </c>
    </row>
    <row r="230">
      <c r="A230" s="11" t="n"/>
      <c r="B230" s="11" t="n"/>
      <c r="C230" s="11" t="n"/>
      <c r="D230" s="11" t="n"/>
      <c r="E230" s="11" t="n"/>
      <c r="F230" s="10">
        <f>IF(AND($A230="",$B230="",$C230=""),"",IF($A230="","⚠ Falta hito",IF(ISNA(MATCH($C230,Cat_Nombre,0)),"⚠ Categoría inválida","OK")))</f>
        <v/>
      </c>
      <c r="G230" s="16">
        <f>IF($F230&lt;&gt;"OK","",IF(UPPER(TRIM($D230))="NO",INDEX(Cat_HMax,MATCH($C230,Cat_Nombre,0)),INDEX(Cat_HMin,MATCH($C230,Cat_Nombre,0))))</f>
        <v/>
      </c>
      <c r="H230" s="16">
        <f>IF($F230&lt;&gt;"OK","",INDEX(Cat_HMax,MATCH($C230,Cat_Nombre,0)))</f>
        <v/>
      </c>
      <c r="I230" s="16">
        <f>IF($F230&lt;&gt;"OK","",(G230+H230)/2)</f>
        <v/>
      </c>
      <c r="J230" s="16">
        <f>IF($F230&lt;&gt;"OK","",G230/HorasDia)</f>
        <v/>
      </c>
      <c r="K230" s="16">
        <f>IF($F230&lt;&gt;"OK","",I230/HorasDia)</f>
        <v/>
      </c>
      <c r="L230" s="16">
        <f>IF($F230&lt;&gt;"OK","",H230/HorasDia)</f>
        <v/>
      </c>
      <c r="M230" s="17">
        <f>IF($F230&lt;&gt;"OK","",IF(UPPER(TRIM($D230))="NO",INDEX(Cat_TMax,MATCH($C230,Cat_Nombre,0)),INDEX(Cat_TMin,MATCH($C230,Cat_Nombre,0))))</f>
        <v/>
      </c>
      <c r="N230" s="17">
        <f>IF($F230&lt;&gt;"OK","",INDEX(Cat_TMax,MATCH($C230,Cat_Nombre,0)))</f>
        <v/>
      </c>
      <c r="O230" s="18">
        <f>IF($F230&lt;&gt;"OK","",INDEX(Cat_POpus,MATCH($C230,Cat_Nombre,0)))</f>
        <v/>
      </c>
      <c r="P230" s="19">
        <f>IF($F230&lt;&gt;"OK","",M230/1000000*((1-O230)*UsdM_Sonnet+O230*UsdM_Opus))</f>
        <v/>
      </c>
      <c r="Q230" s="19">
        <f>IF($F230&lt;&gt;"OK","",N230/1000000*((1-O230)*UsdM_Sonnet+O230*UsdM_Opus))</f>
        <v/>
      </c>
      <c r="R230" s="19">
        <f>IF($F230&lt;&gt;"OK","",G230*TarifaHora)</f>
        <v/>
      </c>
      <c r="S230" s="19">
        <f>IF($F230&lt;&gt;"OK","",H230*TarifaHora)</f>
        <v/>
      </c>
      <c r="T230" s="10">
        <f>IF($F230&lt;&gt;"OK","",IF(COUNTIFS($A$2:$A230,$A230,$F$2:$F230,"OK")=1,MAX($T$1:$T229)+1,""))</f>
        <v/>
      </c>
    </row>
    <row r="231">
      <c r="A231" s="11" t="n"/>
      <c r="B231" s="11" t="n"/>
      <c r="C231" s="11" t="n"/>
      <c r="D231" s="11" t="n"/>
      <c r="E231" s="11" t="n"/>
      <c r="F231" s="10">
        <f>IF(AND($A231="",$B231="",$C231=""),"",IF($A231="","⚠ Falta hito",IF(ISNA(MATCH($C231,Cat_Nombre,0)),"⚠ Categoría inválida","OK")))</f>
        <v/>
      </c>
      <c r="G231" s="16">
        <f>IF($F231&lt;&gt;"OK","",IF(UPPER(TRIM($D231))="NO",INDEX(Cat_HMax,MATCH($C231,Cat_Nombre,0)),INDEX(Cat_HMin,MATCH($C231,Cat_Nombre,0))))</f>
        <v/>
      </c>
      <c r="H231" s="16">
        <f>IF($F231&lt;&gt;"OK","",INDEX(Cat_HMax,MATCH($C231,Cat_Nombre,0)))</f>
        <v/>
      </c>
      <c r="I231" s="16">
        <f>IF($F231&lt;&gt;"OK","",(G231+H231)/2)</f>
        <v/>
      </c>
      <c r="J231" s="16">
        <f>IF($F231&lt;&gt;"OK","",G231/HorasDia)</f>
        <v/>
      </c>
      <c r="K231" s="16">
        <f>IF($F231&lt;&gt;"OK","",I231/HorasDia)</f>
        <v/>
      </c>
      <c r="L231" s="16">
        <f>IF($F231&lt;&gt;"OK","",H231/HorasDia)</f>
        <v/>
      </c>
      <c r="M231" s="17">
        <f>IF($F231&lt;&gt;"OK","",IF(UPPER(TRIM($D231))="NO",INDEX(Cat_TMax,MATCH($C231,Cat_Nombre,0)),INDEX(Cat_TMin,MATCH($C231,Cat_Nombre,0))))</f>
        <v/>
      </c>
      <c r="N231" s="17">
        <f>IF($F231&lt;&gt;"OK","",INDEX(Cat_TMax,MATCH($C231,Cat_Nombre,0)))</f>
        <v/>
      </c>
      <c r="O231" s="18">
        <f>IF($F231&lt;&gt;"OK","",INDEX(Cat_POpus,MATCH($C231,Cat_Nombre,0)))</f>
        <v/>
      </c>
      <c r="P231" s="19">
        <f>IF($F231&lt;&gt;"OK","",M231/1000000*((1-O231)*UsdM_Sonnet+O231*UsdM_Opus))</f>
        <v/>
      </c>
      <c r="Q231" s="19">
        <f>IF($F231&lt;&gt;"OK","",N231/1000000*((1-O231)*UsdM_Sonnet+O231*UsdM_Opus))</f>
        <v/>
      </c>
      <c r="R231" s="19">
        <f>IF($F231&lt;&gt;"OK","",G231*TarifaHora)</f>
        <v/>
      </c>
      <c r="S231" s="19">
        <f>IF($F231&lt;&gt;"OK","",H231*TarifaHora)</f>
        <v/>
      </c>
      <c r="T231" s="10">
        <f>IF($F231&lt;&gt;"OK","",IF(COUNTIFS($A$2:$A231,$A231,$F$2:$F231,"OK")=1,MAX($T$1:$T230)+1,""))</f>
        <v/>
      </c>
    </row>
    <row r="232">
      <c r="A232" s="11" t="n"/>
      <c r="B232" s="11" t="n"/>
      <c r="C232" s="11" t="n"/>
      <c r="D232" s="11" t="n"/>
      <c r="E232" s="11" t="n"/>
      <c r="F232" s="10">
        <f>IF(AND($A232="",$B232="",$C232=""),"",IF($A232="","⚠ Falta hito",IF(ISNA(MATCH($C232,Cat_Nombre,0)),"⚠ Categoría inválida","OK")))</f>
        <v/>
      </c>
      <c r="G232" s="16">
        <f>IF($F232&lt;&gt;"OK","",IF(UPPER(TRIM($D232))="NO",INDEX(Cat_HMax,MATCH($C232,Cat_Nombre,0)),INDEX(Cat_HMin,MATCH($C232,Cat_Nombre,0))))</f>
        <v/>
      </c>
      <c r="H232" s="16">
        <f>IF($F232&lt;&gt;"OK","",INDEX(Cat_HMax,MATCH($C232,Cat_Nombre,0)))</f>
        <v/>
      </c>
      <c r="I232" s="16">
        <f>IF($F232&lt;&gt;"OK","",(G232+H232)/2)</f>
        <v/>
      </c>
      <c r="J232" s="16">
        <f>IF($F232&lt;&gt;"OK","",G232/HorasDia)</f>
        <v/>
      </c>
      <c r="K232" s="16">
        <f>IF($F232&lt;&gt;"OK","",I232/HorasDia)</f>
        <v/>
      </c>
      <c r="L232" s="16">
        <f>IF($F232&lt;&gt;"OK","",H232/HorasDia)</f>
        <v/>
      </c>
      <c r="M232" s="17">
        <f>IF($F232&lt;&gt;"OK","",IF(UPPER(TRIM($D232))="NO",INDEX(Cat_TMax,MATCH($C232,Cat_Nombre,0)),INDEX(Cat_TMin,MATCH($C232,Cat_Nombre,0))))</f>
        <v/>
      </c>
      <c r="N232" s="17">
        <f>IF($F232&lt;&gt;"OK","",INDEX(Cat_TMax,MATCH($C232,Cat_Nombre,0)))</f>
        <v/>
      </c>
      <c r="O232" s="18">
        <f>IF($F232&lt;&gt;"OK","",INDEX(Cat_POpus,MATCH($C232,Cat_Nombre,0)))</f>
        <v/>
      </c>
      <c r="P232" s="19">
        <f>IF($F232&lt;&gt;"OK","",M232/1000000*((1-O232)*UsdM_Sonnet+O232*UsdM_Opus))</f>
        <v/>
      </c>
      <c r="Q232" s="19">
        <f>IF($F232&lt;&gt;"OK","",N232/1000000*((1-O232)*UsdM_Sonnet+O232*UsdM_Opus))</f>
        <v/>
      </c>
      <c r="R232" s="19">
        <f>IF($F232&lt;&gt;"OK","",G232*TarifaHora)</f>
        <v/>
      </c>
      <c r="S232" s="19">
        <f>IF($F232&lt;&gt;"OK","",H232*TarifaHora)</f>
        <v/>
      </c>
      <c r="T232" s="10">
        <f>IF($F232&lt;&gt;"OK","",IF(COUNTIFS($A$2:$A232,$A232,$F$2:$F232,"OK")=1,MAX($T$1:$T231)+1,""))</f>
        <v/>
      </c>
    </row>
    <row r="233">
      <c r="A233" s="11" t="n"/>
      <c r="B233" s="11" t="n"/>
      <c r="C233" s="11" t="n"/>
      <c r="D233" s="11" t="n"/>
      <c r="E233" s="11" t="n"/>
      <c r="F233" s="10">
        <f>IF(AND($A233="",$B233="",$C233=""),"",IF($A233="","⚠ Falta hito",IF(ISNA(MATCH($C233,Cat_Nombre,0)),"⚠ Categoría inválida","OK")))</f>
        <v/>
      </c>
      <c r="G233" s="16">
        <f>IF($F233&lt;&gt;"OK","",IF(UPPER(TRIM($D233))="NO",INDEX(Cat_HMax,MATCH($C233,Cat_Nombre,0)),INDEX(Cat_HMin,MATCH($C233,Cat_Nombre,0))))</f>
        <v/>
      </c>
      <c r="H233" s="16">
        <f>IF($F233&lt;&gt;"OK","",INDEX(Cat_HMax,MATCH($C233,Cat_Nombre,0)))</f>
        <v/>
      </c>
      <c r="I233" s="16">
        <f>IF($F233&lt;&gt;"OK","",(G233+H233)/2)</f>
        <v/>
      </c>
      <c r="J233" s="16">
        <f>IF($F233&lt;&gt;"OK","",G233/HorasDia)</f>
        <v/>
      </c>
      <c r="K233" s="16">
        <f>IF($F233&lt;&gt;"OK","",I233/HorasDia)</f>
        <v/>
      </c>
      <c r="L233" s="16">
        <f>IF($F233&lt;&gt;"OK","",H233/HorasDia)</f>
        <v/>
      </c>
      <c r="M233" s="17">
        <f>IF($F233&lt;&gt;"OK","",IF(UPPER(TRIM($D233))="NO",INDEX(Cat_TMax,MATCH($C233,Cat_Nombre,0)),INDEX(Cat_TMin,MATCH($C233,Cat_Nombre,0))))</f>
        <v/>
      </c>
      <c r="N233" s="17">
        <f>IF($F233&lt;&gt;"OK","",INDEX(Cat_TMax,MATCH($C233,Cat_Nombre,0)))</f>
        <v/>
      </c>
      <c r="O233" s="18">
        <f>IF($F233&lt;&gt;"OK","",INDEX(Cat_POpus,MATCH($C233,Cat_Nombre,0)))</f>
        <v/>
      </c>
      <c r="P233" s="19">
        <f>IF($F233&lt;&gt;"OK","",M233/1000000*((1-O233)*UsdM_Sonnet+O233*UsdM_Opus))</f>
        <v/>
      </c>
      <c r="Q233" s="19">
        <f>IF($F233&lt;&gt;"OK","",N233/1000000*((1-O233)*UsdM_Sonnet+O233*UsdM_Opus))</f>
        <v/>
      </c>
      <c r="R233" s="19">
        <f>IF($F233&lt;&gt;"OK","",G233*TarifaHora)</f>
        <v/>
      </c>
      <c r="S233" s="19">
        <f>IF($F233&lt;&gt;"OK","",H233*TarifaHora)</f>
        <v/>
      </c>
      <c r="T233" s="10">
        <f>IF($F233&lt;&gt;"OK","",IF(COUNTIFS($A$2:$A233,$A233,$F$2:$F233,"OK")=1,MAX($T$1:$T232)+1,""))</f>
        <v/>
      </c>
    </row>
    <row r="234">
      <c r="A234" s="11" t="n"/>
      <c r="B234" s="11" t="n"/>
      <c r="C234" s="11" t="n"/>
      <c r="D234" s="11" t="n"/>
      <c r="E234" s="11" t="n"/>
      <c r="F234" s="10">
        <f>IF(AND($A234="",$B234="",$C234=""),"",IF($A234="","⚠ Falta hito",IF(ISNA(MATCH($C234,Cat_Nombre,0)),"⚠ Categoría inválida","OK")))</f>
        <v/>
      </c>
      <c r="G234" s="16">
        <f>IF($F234&lt;&gt;"OK","",IF(UPPER(TRIM($D234))="NO",INDEX(Cat_HMax,MATCH($C234,Cat_Nombre,0)),INDEX(Cat_HMin,MATCH($C234,Cat_Nombre,0))))</f>
        <v/>
      </c>
      <c r="H234" s="16">
        <f>IF($F234&lt;&gt;"OK","",INDEX(Cat_HMax,MATCH($C234,Cat_Nombre,0)))</f>
        <v/>
      </c>
      <c r="I234" s="16">
        <f>IF($F234&lt;&gt;"OK","",(G234+H234)/2)</f>
        <v/>
      </c>
      <c r="J234" s="16">
        <f>IF($F234&lt;&gt;"OK","",G234/HorasDia)</f>
        <v/>
      </c>
      <c r="K234" s="16">
        <f>IF($F234&lt;&gt;"OK","",I234/HorasDia)</f>
        <v/>
      </c>
      <c r="L234" s="16">
        <f>IF($F234&lt;&gt;"OK","",H234/HorasDia)</f>
        <v/>
      </c>
      <c r="M234" s="17">
        <f>IF($F234&lt;&gt;"OK","",IF(UPPER(TRIM($D234))="NO",INDEX(Cat_TMax,MATCH($C234,Cat_Nombre,0)),INDEX(Cat_TMin,MATCH($C234,Cat_Nombre,0))))</f>
        <v/>
      </c>
      <c r="N234" s="17">
        <f>IF($F234&lt;&gt;"OK","",INDEX(Cat_TMax,MATCH($C234,Cat_Nombre,0)))</f>
        <v/>
      </c>
      <c r="O234" s="18">
        <f>IF($F234&lt;&gt;"OK","",INDEX(Cat_POpus,MATCH($C234,Cat_Nombre,0)))</f>
        <v/>
      </c>
      <c r="P234" s="19">
        <f>IF($F234&lt;&gt;"OK","",M234/1000000*((1-O234)*UsdM_Sonnet+O234*UsdM_Opus))</f>
        <v/>
      </c>
      <c r="Q234" s="19">
        <f>IF($F234&lt;&gt;"OK","",N234/1000000*((1-O234)*UsdM_Sonnet+O234*UsdM_Opus))</f>
        <v/>
      </c>
      <c r="R234" s="19">
        <f>IF($F234&lt;&gt;"OK","",G234*TarifaHora)</f>
        <v/>
      </c>
      <c r="S234" s="19">
        <f>IF($F234&lt;&gt;"OK","",H234*TarifaHora)</f>
        <v/>
      </c>
      <c r="T234" s="10">
        <f>IF($F234&lt;&gt;"OK","",IF(COUNTIFS($A$2:$A234,$A234,$F$2:$F234,"OK")=1,MAX($T$1:$T233)+1,""))</f>
        <v/>
      </c>
    </row>
    <row r="235">
      <c r="A235" s="11" t="n"/>
      <c r="B235" s="11" t="n"/>
      <c r="C235" s="11" t="n"/>
      <c r="D235" s="11" t="n"/>
      <c r="E235" s="11" t="n"/>
      <c r="F235" s="10">
        <f>IF(AND($A235="",$B235="",$C235=""),"",IF($A235="","⚠ Falta hito",IF(ISNA(MATCH($C235,Cat_Nombre,0)),"⚠ Categoría inválida","OK")))</f>
        <v/>
      </c>
      <c r="G235" s="16">
        <f>IF($F235&lt;&gt;"OK","",IF(UPPER(TRIM($D235))="NO",INDEX(Cat_HMax,MATCH($C235,Cat_Nombre,0)),INDEX(Cat_HMin,MATCH($C235,Cat_Nombre,0))))</f>
        <v/>
      </c>
      <c r="H235" s="16">
        <f>IF($F235&lt;&gt;"OK","",INDEX(Cat_HMax,MATCH($C235,Cat_Nombre,0)))</f>
        <v/>
      </c>
      <c r="I235" s="16">
        <f>IF($F235&lt;&gt;"OK","",(G235+H235)/2)</f>
        <v/>
      </c>
      <c r="J235" s="16">
        <f>IF($F235&lt;&gt;"OK","",G235/HorasDia)</f>
        <v/>
      </c>
      <c r="K235" s="16">
        <f>IF($F235&lt;&gt;"OK","",I235/HorasDia)</f>
        <v/>
      </c>
      <c r="L235" s="16">
        <f>IF($F235&lt;&gt;"OK","",H235/HorasDia)</f>
        <v/>
      </c>
      <c r="M235" s="17">
        <f>IF($F235&lt;&gt;"OK","",IF(UPPER(TRIM($D235))="NO",INDEX(Cat_TMax,MATCH($C235,Cat_Nombre,0)),INDEX(Cat_TMin,MATCH($C235,Cat_Nombre,0))))</f>
        <v/>
      </c>
      <c r="N235" s="17">
        <f>IF($F235&lt;&gt;"OK","",INDEX(Cat_TMax,MATCH($C235,Cat_Nombre,0)))</f>
        <v/>
      </c>
      <c r="O235" s="18">
        <f>IF($F235&lt;&gt;"OK","",INDEX(Cat_POpus,MATCH($C235,Cat_Nombre,0)))</f>
        <v/>
      </c>
      <c r="P235" s="19">
        <f>IF($F235&lt;&gt;"OK","",M235/1000000*((1-O235)*UsdM_Sonnet+O235*UsdM_Opus))</f>
        <v/>
      </c>
      <c r="Q235" s="19">
        <f>IF($F235&lt;&gt;"OK","",N235/1000000*((1-O235)*UsdM_Sonnet+O235*UsdM_Opus))</f>
        <v/>
      </c>
      <c r="R235" s="19">
        <f>IF($F235&lt;&gt;"OK","",G235*TarifaHora)</f>
        <v/>
      </c>
      <c r="S235" s="19">
        <f>IF($F235&lt;&gt;"OK","",H235*TarifaHora)</f>
        <v/>
      </c>
      <c r="T235" s="10">
        <f>IF($F235&lt;&gt;"OK","",IF(COUNTIFS($A$2:$A235,$A235,$F$2:$F235,"OK")=1,MAX($T$1:$T234)+1,""))</f>
        <v/>
      </c>
    </row>
    <row r="236">
      <c r="A236" s="11" t="n"/>
      <c r="B236" s="11" t="n"/>
      <c r="C236" s="11" t="n"/>
      <c r="D236" s="11" t="n"/>
      <c r="E236" s="11" t="n"/>
      <c r="F236" s="10">
        <f>IF(AND($A236="",$B236="",$C236=""),"",IF($A236="","⚠ Falta hito",IF(ISNA(MATCH($C236,Cat_Nombre,0)),"⚠ Categoría inválida","OK")))</f>
        <v/>
      </c>
      <c r="G236" s="16">
        <f>IF($F236&lt;&gt;"OK","",IF(UPPER(TRIM($D236))="NO",INDEX(Cat_HMax,MATCH($C236,Cat_Nombre,0)),INDEX(Cat_HMin,MATCH($C236,Cat_Nombre,0))))</f>
        <v/>
      </c>
      <c r="H236" s="16">
        <f>IF($F236&lt;&gt;"OK","",INDEX(Cat_HMax,MATCH($C236,Cat_Nombre,0)))</f>
        <v/>
      </c>
      <c r="I236" s="16">
        <f>IF($F236&lt;&gt;"OK","",(G236+H236)/2)</f>
        <v/>
      </c>
      <c r="J236" s="16">
        <f>IF($F236&lt;&gt;"OK","",G236/HorasDia)</f>
        <v/>
      </c>
      <c r="K236" s="16">
        <f>IF($F236&lt;&gt;"OK","",I236/HorasDia)</f>
        <v/>
      </c>
      <c r="L236" s="16">
        <f>IF($F236&lt;&gt;"OK","",H236/HorasDia)</f>
        <v/>
      </c>
      <c r="M236" s="17">
        <f>IF($F236&lt;&gt;"OK","",IF(UPPER(TRIM($D236))="NO",INDEX(Cat_TMax,MATCH($C236,Cat_Nombre,0)),INDEX(Cat_TMin,MATCH($C236,Cat_Nombre,0))))</f>
        <v/>
      </c>
      <c r="N236" s="17">
        <f>IF($F236&lt;&gt;"OK","",INDEX(Cat_TMax,MATCH($C236,Cat_Nombre,0)))</f>
        <v/>
      </c>
      <c r="O236" s="18">
        <f>IF($F236&lt;&gt;"OK","",INDEX(Cat_POpus,MATCH($C236,Cat_Nombre,0)))</f>
        <v/>
      </c>
      <c r="P236" s="19">
        <f>IF($F236&lt;&gt;"OK","",M236/1000000*((1-O236)*UsdM_Sonnet+O236*UsdM_Opus))</f>
        <v/>
      </c>
      <c r="Q236" s="19">
        <f>IF($F236&lt;&gt;"OK","",N236/1000000*((1-O236)*UsdM_Sonnet+O236*UsdM_Opus))</f>
        <v/>
      </c>
      <c r="R236" s="19">
        <f>IF($F236&lt;&gt;"OK","",G236*TarifaHora)</f>
        <v/>
      </c>
      <c r="S236" s="19">
        <f>IF($F236&lt;&gt;"OK","",H236*TarifaHora)</f>
        <v/>
      </c>
      <c r="T236" s="10">
        <f>IF($F236&lt;&gt;"OK","",IF(COUNTIFS($A$2:$A236,$A236,$F$2:$F236,"OK")=1,MAX($T$1:$T235)+1,""))</f>
        <v/>
      </c>
    </row>
    <row r="237">
      <c r="A237" s="11" t="n"/>
      <c r="B237" s="11" t="n"/>
      <c r="C237" s="11" t="n"/>
      <c r="D237" s="11" t="n"/>
      <c r="E237" s="11" t="n"/>
      <c r="F237" s="10">
        <f>IF(AND($A237="",$B237="",$C237=""),"",IF($A237="","⚠ Falta hito",IF(ISNA(MATCH($C237,Cat_Nombre,0)),"⚠ Categoría inválida","OK")))</f>
        <v/>
      </c>
      <c r="G237" s="16">
        <f>IF($F237&lt;&gt;"OK","",IF(UPPER(TRIM($D237))="NO",INDEX(Cat_HMax,MATCH($C237,Cat_Nombre,0)),INDEX(Cat_HMin,MATCH($C237,Cat_Nombre,0))))</f>
        <v/>
      </c>
      <c r="H237" s="16">
        <f>IF($F237&lt;&gt;"OK","",INDEX(Cat_HMax,MATCH($C237,Cat_Nombre,0)))</f>
        <v/>
      </c>
      <c r="I237" s="16">
        <f>IF($F237&lt;&gt;"OK","",(G237+H237)/2)</f>
        <v/>
      </c>
      <c r="J237" s="16">
        <f>IF($F237&lt;&gt;"OK","",G237/HorasDia)</f>
        <v/>
      </c>
      <c r="K237" s="16">
        <f>IF($F237&lt;&gt;"OK","",I237/HorasDia)</f>
        <v/>
      </c>
      <c r="L237" s="16">
        <f>IF($F237&lt;&gt;"OK","",H237/HorasDia)</f>
        <v/>
      </c>
      <c r="M237" s="17">
        <f>IF($F237&lt;&gt;"OK","",IF(UPPER(TRIM($D237))="NO",INDEX(Cat_TMax,MATCH($C237,Cat_Nombre,0)),INDEX(Cat_TMin,MATCH($C237,Cat_Nombre,0))))</f>
        <v/>
      </c>
      <c r="N237" s="17">
        <f>IF($F237&lt;&gt;"OK","",INDEX(Cat_TMax,MATCH($C237,Cat_Nombre,0)))</f>
        <v/>
      </c>
      <c r="O237" s="18">
        <f>IF($F237&lt;&gt;"OK","",INDEX(Cat_POpus,MATCH($C237,Cat_Nombre,0)))</f>
        <v/>
      </c>
      <c r="P237" s="19">
        <f>IF($F237&lt;&gt;"OK","",M237/1000000*((1-O237)*UsdM_Sonnet+O237*UsdM_Opus))</f>
        <v/>
      </c>
      <c r="Q237" s="19">
        <f>IF($F237&lt;&gt;"OK","",N237/1000000*((1-O237)*UsdM_Sonnet+O237*UsdM_Opus))</f>
        <v/>
      </c>
      <c r="R237" s="19">
        <f>IF($F237&lt;&gt;"OK","",G237*TarifaHora)</f>
        <v/>
      </c>
      <c r="S237" s="19">
        <f>IF($F237&lt;&gt;"OK","",H237*TarifaHora)</f>
        <v/>
      </c>
      <c r="T237" s="10">
        <f>IF($F237&lt;&gt;"OK","",IF(COUNTIFS($A$2:$A237,$A237,$F$2:$F237,"OK")=1,MAX($T$1:$T236)+1,""))</f>
        <v/>
      </c>
    </row>
    <row r="238">
      <c r="A238" s="11" t="n"/>
      <c r="B238" s="11" t="n"/>
      <c r="C238" s="11" t="n"/>
      <c r="D238" s="11" t="n"/>
      <c r="E238" s="11" t="n"/>
      <c r="F238" s="10">
        <f>IF(AND($A238="",$B238="",$C238=""),"",IF($A238="","⚠ Falta hito",IF(ISNA(MATCH($C238,Cat_Nombre,0)),"⚠ Categoría inválida","OK")))</f>
        <v/>
      </c>
      <c r="G238" s="16">
        <f>IF($F238&lt;&gt;"OK","",IF(UPPER(TRIM($D238))="NO",INDEX(Cat_HMax,MATCH($C238,Cat_Nombre,0)),INDEX(Cat_HMin,MATCH($C238,Cat_Nombre,0))))</f>
        <v/>
      </c>
      <c r="H238" s="16">
        <f>IF($F238&lt;&gt;"OK","",INDEX(Cat_HMax,MATCH($C238,Cat_Nombre,0)))</f>
        <v/>
      </c>
      <c r="I238" s="16">
        <f>IF($F238&lt;&gt;"OK","",(G238+H238)/2)</f>
        <v/>
      </c>
      <c r="J238" s="16">
        <f>IF($F238&lt;&gt;"OK","",G238/HorasDia)</f>
        <v/>
      </c>
      <c r="K238" s="16">
        <f>IF($F238&lt;&gt;"OK","",I238/HorasDia)</f>
        <v/>
      </c>
      <c r="L238" s="16">
        <f>IF($F238&lt;&gt;"OK","",H238/HorasDia)</f>
        <v/>
      </c>
      <c r="M238" s="17">
        <f>IF($F238&lt;&gt;"OK","",IF(UPPER(TRIM($D238))="NO",INDEX(Cat_TMax,MATCH($C238,Cat_Nombre,0)),INDEX(Cat_TMin,MATCH($C238,Cat_Nombre,0))))</f>
        <v/>
      </c>
      <c r="N238" s="17">
        <f>IF($F238&lt;&gt;"OK","",INDEX(Cat_TMax,MATCH($C238,Cat_Nombre,0)))</f>
        <v/>
      </c>
      <c r="O238" s="18">
        <f>IF($F238&lt;&gt;"OK","",INDEX(Cat_POpus,MATCH($C238,Cat_Nombre,0)))</f>
        <v/>
      </c>
      <c r="P238" s="19">
        <f>IF($F238&lt;&gt;"OK","",M238/1000000*((1-O238)*UsdM_Sonnet+O238*UsdM_Opus))</f>
        <v/>
      </c>
      <c r="Q238" s="19">
        <f>IF($F238&lt;&gt;"OK","",N238/1000000*((1-O238)*UsdM_Sonnet+O238*UsdM_Opus))</f>
        <v/>
      </c>
      <c r="R238" s="19">
        <f>IF($F238&lt;&gt;"OK","",G238*TarifaHora)</f>
        <v/>
      </c>
      <c r="S238" s="19">
        <f>IF($F238&lt;&gt;"OK","",H238*TarifaHora)</f>
        <v/>
      </c>
      <c r="T238" s="10">
        <f>IF($F238&lt;&gt;"OK","",IF(COUNTIFS($A$2:$A238,$A238,$F$2:$F238,"OK")=1,MAX($T$1:$T237)+1,""))</f>
        <v/>
      </c>
    </row>
    <row r="239">
      <c r="A239" s="11" t="n"/>
      <c r="B239" s="11" t="n"/>
      <c r="C239" s="11" t="n"/>
      <c r="D239" s="11" t="n"/>
      <c r="E239" s="11" t="n"/>
      <c r="F239" s="10">
        <f>IF(AND($A239="",$B239="",$C239=""),"",IF($A239="","⚠ Falta hito",IF(ISNA(MATCH($C239,Cat_Nombre,0)),"⚠ Categoría inválida","OK")))</f>
        <v/>
      </c>
      <c r="G239" s="16">
        <f>IF($F239&lt;&gt;"OK","",IF(UPPER(TRIM($D239))="NO",INDEX(Cat_HMax,MATCH($C239,Cat_Nombre,0)),INDEX(Cat_HMin,MATCH($C239,Cat_Nombre,0))))</f>
        <v/>
      </c>
      <c r="H239" s="16">
        <f>IF($F239&lt;&gt;"OK","",INDEX(Cat_HMax,MATCH($C239,Cat_Nombre,0)))</f>
        <v/>
      </c>
      <c r="I239" s="16">
        <f>IF($F239&lt;&gt;"OK","",(G239+H239)/2)</f>
        <v/>
      </c>
      <c r="J239" s="16">
        <f>IF($F239&lt;&gt;"OK","",G239/HorasDia)</f>
        <v/>
      </c>
      <c r="K239" s="16">
        <f>IF($F239&lt;&gt;"OK","",I239/HorasDia)</f>
        <v/>
      </c>
      <c r="L239" s="16">
        <f>IF($F239&lt;&gt;"OK","",H239/HorasDia)</f>
        <v/>
      </c>
      <c r="M239" s="17">
        <f>IF($F239&lt;&gt;"OK","",IF(UPPER(TRIM($D239))="NO",INDEX(Cat_TMax,MATCH($C239,Cat_Nombre,0)),INDEX(Cat_TMin,MATCH($C239,Cat_Nombre,0))))</f>
        <v/>
      </c>
      <c r="N239" s="17">
        <f>IF($F239&lt;&gt;"OK","",INDEX(Cat_TMax,MATCH($C239,Cat_Nombre,0)))</f>
        <v/>
      </c>
      <c r="O239" s="18">
        <f>IF($F239&lt;&gt;"OK","",INDEX(Cat_POpus,MATCH($C239,Cat_Nombre,0)))</f>
        <v/>
      </c>
      <c r="P239" s="19">
        <f>IF($F239&lt;&gt;"OK","",M239/1000000*((1-O239)*UsdM_Sonnet+O239*UsdM_Opus))</f>
        <v/>
      </c>
      <c r="Q239" s="19">
        <f>IF($F239&lt;&gt;"OK","",N239/1000000*((1-O239)*UsdM_Sonnet+O239*UsdM_Opus))</f>
        <v/>
      </c>
      <c r="R239" s="19">
        <f>IF($F239&lt;&gt;"OK","",G239*TarifaHora)</f>
        <v/>
      </c>
      <c r="S239" s="19">
        <f>IF($F239&lt;&gt;"OK","",H239*TarifaHora)</f>
        <v/>
      </c>
      <c r="T239" s="10">
        <f>IF($F239&lt;&gt;"OK","",IF(COUNTIFS($A$2:$A239,$A239,$F$2:$F239,"OK")=1,MAX($T$1:$T238)+1,""))</f>
        <v/>
      </c>
    </row>
    <row r="240">
      <c r="A240" s="11" t="n"/>
      <c r="B240" s="11" t="n"/>
      <c r="C240" s="11" t="n"/>
      <c r="D240" s="11" t="n"/>
      <c r="E240" s="11" t="n"/>
      <c r="F240" s="10">
        <f>IF(AND($A240="",$B240="",$C240=""),"",IF($A240="","⚠ Falta hito",IF(ISNA(MATCH($C240,Cat_Nombre,0)),"⚠ Categoría inválida","OK")))</f>
        <v/>
      </c>
      <c r="G240" s="16">
        <f>IF($F240&lt;&gt;"OK","",IF(UPPER(TRIM($D240))="NO",INDEX(Cat_HMax,MATCH($C240,Cat_Nombre,0)),INDEX(Cat_HMin,MATCH($C240,Cat_Nombre,0))))</f>
        <v/>
      </c>
      <c r="H240" s="16">
        <f>IF($F240&lt;&gt;"OK","",INDEX(Cat_HMax,MATCH($C240,Cat_Nombre,0)))</f>
        <v/>
      </c>
      <c r="I240" s="16">
        <f>IF($F240&lt;&gt;"OK","",(G240+H240)/2)</f>
        <v/>
      </c>
      <c r="J240" s="16">
        <f>IF($F240&lt;&gt;"OK","",G240/HorasDia)</f>
        <v/>
      </c>
      <c r="K240" s="16">
        <f>IF($F240&lt;&gt;"OK","",I240/HorasDia)</f>
        <v/>
      </c>
      <c r="L240" s="16">
        <f>IF($F240&lt;&gt;"OK","",H240/HorasDia)</f>
        <v/>
      </c>
      <c r="M240" s="17">
        <f>IF($F240&lt;&gt;"OK","",IF(UPPER(TRIM($D240))="NO",INDEX(Cat_TMax,MATCH($C240,Cat_Nombre,0)),INDEX(Cat_TMin,MATCH($C240,Cat_Nombre,0))))</f>
        <v/>
      </c>
      <c r="N240" s="17">
        <f>IF($F240&lt;&gt;"OK","",INDEX(Cat_TMax,MATCH($C240,Cat_Nombre,0)))</f>
        <v/>
      </c>
      <c r="O240" s="18">
        <f>IF($F240&lt;&gt;"OK","",INDEX(Cat_POpus,MATCH($C240,Cat_Nombre,0)))</f>
        <v/>
      </c>
      <c r="P240" s="19">
        <f>IF($F240&lt;&gt;"OK","",M240/1000000*((1-O240)*UsdM_Sonnet+O240*UsdM_Opus))</f>
        <v/>
      </c>
      <c r="Q240" s="19">
        <f>IF($F240&lt;&gt;"OK","",N240/1000000*((1-O240)*UsdM_Sonnet+O240*UsdM_Opus))</f>
        <v/>
      </c>
      <c r="R240" s="19">
        <f>IF($F240&lt;&gt;"OK","",G240*TarifaHora)</f>
        <v/>
      </c>
      <c r="S240" s="19">
        <f>IF($F240&lt;&gt;"OK","",H240*TarifaHora)</f>
        <v/>
      </c>
      <c r="T240" s="10">
        <f>IF($F240&lt;&gt;"OK","",IF(COUNTIFS($A$2:$A240,$A240,$F$2:$F240,"OK")=1,MAX($T$1:$T239)+1,""))</f>
        <v/>
      </c>
    </row>
    <row r="241">
      <c r="A241" s="11" t="n"/>
      <c r="B241" s="11" t="n"/>
      <c r="C241" s="11" t="n"/>
      <c r="D241" s="11" t="n"/>
      <c r="E241" s="11" t="n"/>
      <c r="F241" s="10">
        <f>IF(AND($A241="",$B241="",$C241=""),"",IF($A241="","⚠ Falta hito",IF(ISNA(MATCH($C241,Cat_Nombre,0)),"⚠ Categoría inválida","OK")))</f>
        <v/>
      </c>
      <c r="G241" s="16">
        <f>IF($F241&lt;&gt;"OK","",IF(UPPER(TRIM($D241))="NO",INDEX(Cat_HMax,MATCH($C241,Cat_Nombre,0)),INDEX(Cat_HMin,MATCH($C241,Cat_Nombre,0))))</f>
        <v/>
      </c>
      <c r="H241" s="16">
        <f>IF($F241&lt;&gt;"OK","",INDEX(Cat_HMax,MATCH($C241,Cat_Nombre,0)))</f>
        <v/>
      </c>
      <c r="I241" s="16">
        <f>IF($F241&lt;&gt;"OK","",(G241+H241)/2)</f>
        <v/>
      </c>
      <c r="J241" s="16">
        <f>IF($F241&lt;&gt;"OK","",G241/HorasDia)</f>
        <v/>
      </c>
      <c r="K241" s="16">
        <f>IF($F241&lt;&gt;"OK","",I241/HorasDia)</f>
        <v/>
      </c>
      <c r="L241" s="16">
        <f>IF($F241&lt;&gt;"OK","",H241/HorasDia)</f>
        <v/>
      </c>
      <c r="M241" s="17">
        <f>IF($F241&lt;&gt;"OK","",IF(UPPER(TRIM($D241))="NO",INDEX(Cat_TMax,MATCH($C241,Cat_Nombre,0)),INDEX(Cat_TMin,MATCH($C241,Cat_Nombre,0))))</f>
        <v/>
      </c>
      <c r="N241" s="17">
        <f>IF($F241&lt;&gt;"OK","",INDEX(Cat_TMax,MATCH($C241,Cat_Nombre,0)))</f>
        <v/>
      </c>
      <c r="O241" s="18">
        <f>IF($F241&lt;&gt;"OK","",INDEX(Cat_POpus,MATCH($C241,Cat_Nombre,0)))</f>
        <v/>
      </c>
      <c r="P241" s="19">
        <f>IF($F241&lt;&gt;"OK","",M241/1000000*((1-O241)*UsdM_Sonnet+O241*UsdM_Opus))</f>
        <v/>
      </c>
      <c r="Q241" s="19">
        <f>IF($F241&lt;&gt;"OK","",N241/1000000*((1-O241)*UsdM_Sonnet+O241*UsdM_Opus))</f>
        <v/>
      </c>
      <c r="R241" s="19">
        <f>IF($F241&lt;&gt;"OK","",G241*TarifaHora)</f>
        <v/>
      </c>
      <c r="S241" s="19">
        <f>IF($F241&lt;&gt;"OK","",H241*TarifaHora)</f>
        <v/>
      </c>
      <c r="T241" s="10">
        <f>IF($F241&lt;&gt;"OK","",IF(COUNTIFS($A$2:$A241,$A241,$F$2:$F241,"OK")=1,MAX($T$1:$T240)+1,""))</f>
        <v/>
      </c>
    </row>
    <row r="242">
      <c r="A242" s="11" t="n"/>
      <c r="B242" s="11" t="n"/>
      <c r="C242" s="11" t="n"/>
      <c r="D242" s="11" t="n"/>
      <c r="E242" s="11" t="n"/>
      <c r="F242" s="10">
        <f>IF(AND($A242="",$B242="",$C242=""),"",IF($A242="","⚠ Falta hito",IF(ISNA(MATCH($C242,Cat_Nombre,0)),"⚠ Categoría inválida","OK")))</f>
        <v/>
      </c>
      <c r="G242" s="16">
        <f>IF($F242&lt;&gt;"OK","",IF(UPPER(TRIM($D242))="NO",INDEX(Cat_HMax,MATCH($C242,Cat_Nombre,0)),INDEX(Cat_HMin,MATCH($C242,Cat_Nombre,0))))</f>
        <v/>
      </c>
      <c r="H242" s="16">
        <f>IF($F242&lt;&gt;"OK","",INDEX(Cat_HMax,MATCH($C242,Cat_Nombre,0)))</f>
        <v/>
      </c>
      <c r="I242" s="16">
        <f>IF($F242&lt;&gt;"OK","",(G242+H242)/2)</f>
        <v/>
      </c>
      <c r="J242" s="16">
        <f>IF($F242&lt;&gt;"OK","",G242/HorasDia)</f>
        <v/>
      </c>
      <c r="K242" s="16">
        <f>IF($F242&lt;&gt;"OK","",I242/HorasDia)</f>
        <v/>
      </c>
      <c r="L242" s="16">
        <f>IF($F242&lt;&gt;"OK","",H242/HorasDia)</f>
        <v/>
      </c>
      <c r="M242" s="17">
        <f>IF($F242&lt;&gt;"OK","",IF(UPPER(TRIM($D242))="NO",INDEX(Cat_TMax,MATCH($C242,Cat_Nombre,0)),INDEX(Cat_TMin,MATCH($C242,Cat_Nombre,0))))</f>
        <v/>
      </c>
      <c r="N242" s="17">
        <f>IF($F242&lt;&gt;"OK","",INDEX(Cat_TMax,MATCH($C242,Cat_Nombre,0)))</f>
        <v/>
      </c>
      <c r="O242" s="18">
        <f>IF($F242&lt;&gt;"OK","",INDEX(Cat_POpus,MATCH($C242,Cat_Nombre,0)))</f>
        <v/>
      </c>
      <c r="P242" s="19">
        <f>IF($F242&lt;&gt;"OK","",M242/1000000*((1-O242)*UsdM_Sonnet+O242*UsdM_Opus))</f>
        <v/>
      </c>
      <c r="Q242" s="19">
        <f>IF($F242&lt;&gt;"OK","",N242/1000000*((1-O242)*UsdM_Sonnet+O242*UsdM_Opus))</f>
        <v/>
      </c>
      <c r="R242" s="19">
        <f>IF($F242&lt;&gt;"OK","",G242*TarifaHora)</f>
        <v/>
      </c>
      <c r="S242" s="19">
        <f>IF($F242&lt;&gt;"OK","",H242*TarifaHora)</f>
        <v/>
      </c>
      <c r="T242" s="10">
        <f>IF($F242&lt;&gt;"OK","",IF(COUNTIFS($A$2:$A242,$A242,$F$2:$F242,"OK")=1,MAX($T$1:$T241)+1,""))</f>
        <v/>
      </c>
    </row>
    <row r="243">
      <c r="A243" s="11" t="n"/>
      <c r="B243" s="11" t="n"/>
      <c r="C243" s="11" t="n"/>
      <c r="D243" s="11" t="n"/>
      <c r="E243" s="11" t="n"/>
      <c r="F243" s="10">
        <f>IF(AND($A243="",$B243="",$C243=""),"",IF($A243="","⚠ Falta hito",IF(ISNA(MATCH($C243,Cat_Nombre,0)),"⚠ Categoría inválida","OK")))</f>
        <v/>
      </c>
      <c r="G243" s="16">
        <f>IF($F243&lt;&gt;"OK","",IF(UPPER(TRIM($D243))="NO",INDEX(Cat_HMax,MATCH($C243,Cat_Nombre,0)),INDEX(Cat_HMin,MATCH($C243,Cat_Nombre,0))))</f>
        <v/>
      </c>
      <c r="H243" s="16">
        <f>IF($F243&lt;&gt;"OK","",INDEX(Cat_HMax,MATCH($C243,Cat_Nombre,0)))</f>
        <v/>
      </c>
      <c r="I243" s="16">
        <f>IF($F243&lt;&gt;"OK","",(G243+H243)/2)</f>
        <v/>
      </c>
      <c r="J243" s="16">
        <f>IF($F243&lt;&gt;"OK","",G243/HorasDia)</f>
        <v/>
      </c>
      <c r="K243" s="16">
        <f>IF($F243&lt;&gt;"OK","",I243/HorasDia)</f>
        <v/>
      </c>
      <c r="L243" s="16">
        <f>IF($F243&lt;&gt;"OK","",H243/HorasDia)</f>
        <v/>
      </c>
      <c r="M243" s="17">
        <f>IF($F243&lt;&gt;"OK","",IF(UPPER(TRIM($D243))="NO",INDEX(Cat_TMax,MATCH($C243,Cat_Nombre,0)),INDEX(Cat_TMin,MATCH($C243,Cat_Nombre,0))))</f>
        <v/>
      </c>
      <c r="N243" s="17">
        <f>IF($F243&lt;&gt;"OK","",INDEX(Cat_TMax,MATCH($C243,Cat_Nombre,0)))</f>
        <v/>
      </c>
      <c r="O243" s="18">
        <f>IF($F243&lt;&gt;"OK","",INDEX(Cat_POpus,MATCH($C243,Cat_Nombre,0)))</f>
        <v/>
      </c>
      <c r="P243" s="19">
        <f>IF($F243&lt;&gt;"OK","",M243/1000000*((1-O243)*UsdM_Sonnet+O243*UsdM_Opus))</f>
        <v/>
      </c>
      <c r="Q243" s="19">
        <f>IF($F243&lt;&gt;"OK","",N243/1000000*((1-O243)*UsdM_Sonnet+O243*UsdM_Opus))</f>
        <v/>
      </c>
      <c r="R243" s="19">
        <f>IF($F243&lt;&gt;"OK","",G243*TarifaHora)</f>
        <v/>
      </c>
      <c r="S243" s="19">
        <f>IF($F243&lt;&gt;"OK","",H243*TarifaHora)</f>
        <v/>
      </c>
      <c r="T243" s="10">
        <f>IF($F243&lt;&gt;"OK","",IF(COUNTIFS($A$2:$A243,$A243,$F$2:$F243,"OK")=1,MAX($T$1:$T242)+1,""))</f>
        <v/>
      </c>
    </row>
    <row r="244">
      <c r="A244" s="11" t="n"/>
      <c r="B244" s="11" t="n"/>
      <c r="C244" s="11" t="n"/>
      <c r="D244" s="11" t="n"/>
      <c r="E244" s="11" t="n"/>
      <c r="F244" s="10">
        <f>IF(AND($A244="",$B244="",$C244=""),"",IF($A244="","⚠ Falta hito",IF(ISNA(MATCH($C244,Cat_Nombre,0)),"⚠ Categoría inválida","OK")))</f>
        <v/>
      </c>
      <c r="G244" s="16">
        <f>IF($F244&lt;&gt;"OK","",IF(UPPER(TRIM($D244))="NO",INDEX(Cat_HMax,MATCH($C244,Cat_Nombre,0)),INDEX(Cat_HMin,MATCH($C244,Cat_Nombre,0))))</f>
        <v/>
      </c>
      <c r="H244" s="16">
        <f>IF($F244&lt;&gt;"OK","",INDEX(Cat_HMax,MATCH($C244,Cat_Nombre,0)))</f>
        <v/>
      </c>
      <c r="I244" s="16">
        <f>IF($F244&lt;&gt;"OK","",(G244+H244)/2)</f>
        <v/>
      </c>
      <c r="J244" s="16">
        <f>IF($F244&lt;&gt;"OK","",G244/HorasDia)</f>
        <v/>
      </c>
      <c r="K244" s="16">
        <f>IF($F244&lt;&gt;"OK","",I244/HorasDia)</f>
        <v/>
      </c>
      <c r="L244" s="16">
        <f>IF($F244&lt;&gt;"OK","",H244/HorasDia)</f>
        <v/>
      </c>
      <c r="M244" s="17">
        <f>IF($F244&lt;&gt;"OK","",IF(UPPER(TRIM($D244))="NO",INDEX(Cat_TMax,MATCH($C244,Cat_Nombre,0)),INDEX(Cat_TMin,MATCH($C244,Cat_Nombre,0))))</f>
        <v/>
      </c>
      <c r="N244" s="17">
        <f>IF($F244&lt;&gt;"OK","",INDEX(Cat_TMax,MATCH($C244,Cat_Nombre,0)))</f>
        <v/>
      </c>
      <c r="O244" s="18">
        <f>IF($F244&lt;&gt;"OK","",INDEX(Cat_POpus,MATCH($C244,Cat_Nombre,0)))</f>
        <v/>
      </c>
      <c r="P244" s="19">
        <f>IF($F244&lt;&gt;"OK","",M244/1000000*((1-O244)*UsdM_Sonnet+O244*UsdM_Opus))</f>
        <v/>
      </c>
      <c r="Q244" s="19">
        <f>IF($F244&lt;&gt;"OK","",N244/1000000*((1-O244)*UsdM_Sonnet+O244*UsdM_Opus))</f>
        <v/>
      </c>
      <c r="R244" s="19">
        <f>IF($F244&lt;&gt;"OK","",G244*TarifaHora)</f>
        <v/>
      </c>
      <c r="S244" s="19">
        <f>IF($F244&lt;&gt;"OK","",H244*TarifaHora)</f>
        <v/>
      </c>
      <c r="T244" s="10">
        <f>IF($F244&lt;&gt;"OK","",IF(COUNTIFS($A$2:$A244,$A244,$F$2:$F244,"OK")=1,MAX($T$1:$T243)+1,""))</f>
        <v/>
      </c>
    </row>
    <row r="245">
      <c r="A245" s="11" t="n"/>
      <c r="B245" s="11" t="n"/>
      <c r="C245" s="11" t="n"/>
      <c r="D245" s="11" t="n"/>
      <c r="E245" s="11" t="n"/>
      <c r="F245" s="10">
        <f>IF(AND($A245="",$B245="",$C245=""),"",IF($A245="","⚠ Falta hito",IF(ISNA(MATCH($C245,Cat_Nombre,0)),"⚠ Categoría inválida","OK")))</f>
        <v/>
      </c>
      <c r="G245" s="16">
        <f>IF($F245&lt;&gt;"OK","",IF(UPPER(TRIM($D245))="NO",INDEX(Cat_HMax,MATCH($C245,Cat_Nombre,0)),INDEX(Cat_HMin,MATCH($C245,Cat_Nombre,0))))</f>
        <v/>
      </c>
      <c r="H245" s="16">
        <f>IF($F245&lt;&gt;"OK","",INDEX(Cat_HMax,MATCH($C245,Cat_Nombre,0)))</f>
        <v/>
      </c>
      <c r="I245" s="16">
        <f>IF($F245&lt;&gt;"OK","",(G245+H245)/2)</f>
        <v/>
      </c>
      <c r="J245" s="16">
        <f>IF($F245&lt;&gt;"OK","",G245/HorasDia)</f>
        <v/>
      </c>
      <c r="K245" s="16">
        <f>IF($F245&lt;&gt;"OK","",I245/HorasDia)</f>
        <v/>
      </c>
      <c r="L245" s="16">
        <f>IF($F245&lt;&gt;"OK","",H245/HorasDia)</f>
        <v/>
      </c>
      <c r="M245" s="17">
        <f>IF($F245&lt;&gt;"OK","",IF(UPPER(TRIM($D245))="NO",INDEX(Cat_TMax,MATCH($C245,Cat_Nombre,0)),INDEX(Cat_TMin,MATCH($C245,Cat_Nombre,0))))</f>
        <v/>
      </c>
      <c r="N245" s="17">
        <f>IF($F245&lt;&gt;"OK","",INDEX(Cat_TMax,MATCH($C245,Cat_Nombre,0)))</f>
        <v/>
      </c>
      <c r="O245" s="18">
        <f>IF($F245&lt;&gt;"OK","",INDEX(Cat_POpus,MATCH($C245,Cat_Nombre,0)))</f>
        <v/>
      </c>
      <c r="P245" s="19">
        <f>IF($F245&lt;&gt;"OK","",M245/1000000*((1-O245)*UsdM_Sonnet+O245*UsdM_Opus))</f>
        <v/>
      </c>
      <c r="Q245" s="19">
        <f>IF($F245&lt;&gt;"OK","",N245/1000000*((1-O245)*UsdM_Sonnet+O245*UsdM_Opus))</f>
        <v/>
      </c>
      <c r="R245" s="19">
        <f>IF($F245&lt;&gt;"OK","",G245*TarifaHora)</f>
        <v/>
      </c>
      <c r="S245" s="19">
        <f>IF($F245&lt;&gt;"OK","",H245*TarifaHora)</f>
        <v/>
      </c>
      <c r="T245" s="10">
        <f>IF($F245&lt;&gt;"OK","",IF(COUNTIFS($A$2:$A245,$A245,$F$2:$F245,"OK")=1,MAX($T$1:$T244)+1,""))</f>
        <v/>
      </c>
    </row>
    <row r="246">
      <c r="A246" s="11" t="n"/>
      <c r="B246" s="11" t="n"/>
      <c r="C246" s="11" t="n"/>
      <c r="D246" s="11" t="n"/>
      <c r="E246" s="11" t="n"/>
      <c r="F246" s="10">
        <f>IF(AND($A246="",$B246="",$C246=""),"",IF($A246="","⚠ Falta hito",IF(ISNA(MATCH($C246,Cat_Nombre,0)),"⚠ Categoría inválida","OK")))</f>
        <v/>
      </c>
      <c r="G246" s="16">
        <f>IF($F246&lt;&gt;"OK","",IF(UPPER(TRIM($D246))="NO",INDEX(Cat_HMax,MATCH($C246,Cat_Nombre,0)),INDEX(Cat_HMin,MATCH($C246,Cat_Nombre,0))))</f>
        <v/>
      </c>
      <c r="H246" s="16">
        <f>IF($F246&lt;&gt;"OK","",INDEX(Cat_HMax,MATCH($C246,Cat_Nombre,0)))</f>
        <v/>
      </c>
      <c r="I246" s="16">
        <f>IF($F246&lt;&gt;"OK","",(G246+H246)/2)</f>
        <v/>
      </c>
      <c r="J246" s="16">
        <f>IF($F246&lt;&gt;"OK","",G246/HorasDia)</f>
        <v/>
      </c>
      <c r="K246" s="16">
        <f>IF($F246&lt;&gt;"OK","",I246/HorasDia)</f>
        <v/>
      </c>
      <c r="L246" s="16">
        <f>IF($F246&lt;&gt;"OK","",H246/HorasDia)</f>
        <v/>
      </c>
      <c r="M246" s="17">
        <f>IF($F246&lt;&gt;"OK","",IF(UPPER(TRIM($D246))="NO",INDEX(Cat_TMax,MATCH($C246,Cat_Nombre,0)),INDEX(Cat_TMin,MATCH($C246,Cat_Nombre,0))))</f>
        <v/>
      </c>
      <c r="N246" s="17">
        <f>IF($F246&lt;&gt;"OK","",INDEX(Cat_TMax,MATCH($C246,Cat_Nombre,0)))</f>
        <v/>
      </c>
      <c r="O246" s="18">
        <f>IF($F246&lt;&gt;"OK","",INDEX(Cat_POpus,MATCH($C246,Cat_Nombre,0)))</f>
        <v/>
      </c>
      <c r="P246" s="19">
        <f>IF($F246&lt;&gt;"OK","",M246/1000000*((1-O246)*UsdM_Sonnet+O246*UsdM_Opus))</f>
        <v/>
      </c>
      <c r="Q246" s="19">
        <f>IF($F246&lt;&gt;"OK","",N246/1000000*((1-O246)*UsdM_Sonnet+O246*UsdM_Opus))</f>
        <v/>
      </c>
      <c r="R246" s="19">
        <f>IF($F246&lt;&gt;"OK","",G246*TarifaHora)</f>
        <v/>
      </c>
      <c r="S246" s="19">
        <f>IF($F246&lt;&gt;"OK","",H246*TarifaHora)</f>
        <v/>
      </c>
      <c r="T246" s="10">
        <f>IF($F246&lt;&gt;"OK","",IF(COUNTIFS($A$2:$A246,$A246,$F$2:$F246,"OK")=1,MAX($T$1:$T245)+1,""))</f>
        <v/>
      </c>
    </row>
    <row r="247">
      <c r="A247" s="11" t="n"/>
      <c r="B247" s="11" t="n"/>
      <c r="C247" s="11" t="n"/>
      <c r="D247" s="11" t="n"/>
      <c r="E247" s="11" t="n"/>
      <c r="F247" s="10">
        <f>IF(AND($A247="",$B247="",$C247=""),"",IF($A247="","⚠ Falta hito",IF(ISNA(MATCH($C247,Cat_Nombre,0)),"⚠ Categoría inválida","OK")))</f>
        <v/>
      </c>
      <c r="G247" s="16">
        <f>IF($F247&lt;&gt;"OK","",IF(UPPER(TRIM($D247))="NO",INDEX(Cat_HMax,MATCH($C247,Cat_Nombre,0)),INDEX(Cat_HMin,MATCH($C247,Cat_Nombre,0))))</f>
        <v/>
      </c>
      <c r="H247" s="16">
        <f>IF($F247&lt;&gt;"OK","",INDEX(Cat_HMax,MATCH($C247,Cat_Nombre,0)))</f>
        <v/>
      </c>
      <c r="I247" s="16">
        <f>IF($F247&lt;&gt;"OK","",(G247+H247)/2)</f>
        <v/>
      </c>
      <c r="J247" s="16">
        <f>IF($F247&lt;&gt;"OK","",G247/HorasDia)</f>
        <v/>
      </c>
      <c r="K247" s="16">
        <f>IF($F247&lt;&gt;"OK","",I247/HorasDia)</f>
        <v/>
      </c>
      <c r="L247" s="16">
        <f>IF($F247&lt;&gt;"OK","",H247/HorasDia)</f>
        <v/>
      </c>
      <c r="M247" s="17">
        <f>IF($F247&lt;&gt;"OK","",IF(UPPER(TRIM($D247))="NO",INDEX(Cat_TMax,MATCH($C247,Cat_Nombre,0)),INDEX(Cat_TMin,MATCH($C247,Cat_Nombre,0))))</f>
        <v/>
      </c>
      <c r="N247" s="17">
        <f>IF($F247&lt;&gt;"OK","",INDEX(Cat_TMax,MATCH($C247,Cat_Nombre,0)))</f>
        <v/>
      </c>
      <c r="O247" s="18">
        <f>IF($F247&lt;&gt;"OK","",INDEX(Cat_POpus,MATCH($C247,Cat_Nombre,0)))</f>
        <v/>
      </c>
      <c r="P247" s="19">
        <f>IF($F247&lt;&gt;"OK","",M247/1000000*((1-O247)*UsdM_Sonnet+O247*UsdM_Opus))</f>
        <v/>
      </c>
      <c r="Q247" s="19">
        <f>IF($F247&lt;&gt;"OK","",N247/1000000*((1-O247)*UsdM_Sonnet+O247*UsdM_Opus))</f>
        <v/>
      </c>
      <c r="R247" s="19">
        <f>IF($F247&lt;&gt;"OK","",G247*TarifaHora)</f>
        <v/>
      </c>
      <c r="S247" s="19">
        <f>IF($F247&lt;&gt;"OK","",H247*TarifaHora)</f>
        <v/>
      </c>
      <c r="T247" s="10">
        <f>IF($F247&lt;&gt;"OK","",IF(COUNTIFS($A$2:$A247,$A247,$F$2:$F247,"OK")=1,MAX($T$1:$T246)+1,""))</f>
        <v/>
      </c>
    </row>
    <row r="248">
      <c r="A248" s="11" t="n"/>
      <c r="B248" s="11" t="n"/>
      <c r="C248" s="11" t="n"/>
      <c r="D248" s="11" t="n"/>
      <c r="E248" s="11" t="n"/>
      <c r="F248" s="10">
        <f>IF(AND($A248="",$B248="",$C248=""),"",IF($A248="","⚠ Falta hito",IF(ISNA(MATCH($C248,Cat_Nombre,0)),"⚠ Categoría inválida","OK")))</f>
        <v/>
      </c>
      <c r="G248" s="16">
        <f>IF($F248&lt;&gt;"OK","",IF(UPPER(TRIM($D248))="NO",INDEX(Cat_HMax,MATCH($C248,Cat_Nombre,0)),INDEX(Cat_HMin,MATCH($C248,Cat_Nombre,0))))</f>
        <v/>
      </c>
      <c r="H248" s="16">
        <f>IF($F248&lt;&gt;"OK","",INDEX(Cat_HMax,MATCH($C248,Cat_Nombre,0)))</f>
        <v/>
      </c>
      <c r="I248" s="16">
        <f>IF($F248&lt;&gt;"OK","",(G248+H248)/2)</f>
        <v/>
      </c>
      <c r="J248" s="16">
        <f>IF($F248&lt;&gt;"OK","",G248/HorasDia)</f>
        <v/>
      </c>
      <c r="K248" s="16">
        <f>IF($F248&lt;&gt;"OK","",I248/HorasDia)</f>
        <v/>
      </c>
      <c r="L248" s="16">
        <f>IF($F248&lt;&gt;"OK","",H248/HorasDia)</f>
        <v/>
      </c>
      <c r="M248" s="17">
        <f>IF($F248&lt;&gt;"OK","",IF(UPPER(TRIM($D248))="NO",INDEX(Cat_TMax,MATCH($C248,Cat_Nombre,0)),INDEX(Cat_TMin,MATCH($C248,Cat_Nombre,0))))</f>
        <v/>
      </c>
      <c r="N248" s="17">
        <f>IF($F248&lt;&gt;"OK","",INDEX(Cat_TMax,MATCH($C248,Cat_Nombre,0)))</f>
        <v/>
      </c>
      <c r="O248" s="18">
        <f>IF($F248&lt;&gt;"OK","",INDEX(Cat_POpus,MATCH($C248,Cat_Nombre,0)))</f>
        <v/>
      </c>
      <c r="P248" s="19">
        <f>IF($F248&lt;&gt;"OK","",M248/1000000*((1-O248)*UsdM_Sonnet+O248*UsdM_Opus))</f>
        <v/>
      </c>
      <c r="Q248" s="19">
        <f>IF($F248&lt;&gt;"OK","",N248/1000000*((1-O248)*UsdM_Sonnet+O248*UsdM_Opus))</f>
        <v/>
      </c>
      <c r="R248" s="19">
        <f>IF($F248&lt;&gt;"OK","",G248*TarifaHora)</f>
        <v/>
      </c>
      <c r="S248" s="19">
        <f>IF($F248&lt;&gt;"OK","",H248*TarifaHora)</f>
        <v/>
      </c>
      <c r="T248" s="10">
        <f>IF($F248&lt;&gt;"OK","",IF(COUNTIFS($A$2:$A248,$A248,$F$2:$F248,"OK")=1,MAX($T$1:$T247)+1,""))</f>
        <v/>
      </c>
    </row>
    <row r="249">
      <c r="A249" s="11" t="n"/>
      <c r="B249" s="11" t="n"/>
      <c r="C249" s="11" t="n"/>
      <c r="D249" s="11" t="n"/>
      <c r="E249" s="11" t="n"/>
      <c r="F249" s="10">
        <f>IF(AND($A249="",$B249="",$C249=""),"",IF($A249="","⚠ Falta hito",IF(ISNA(MATCH($C249,Cat_Nombre,0)),"⚠ Categoría inválida","OK")))</f>
        <v/>
      </c>
      <c r="G249" s="16">
        <f>IF($F249&lt;&gt;"OK","",IF(UPPER(TRIM($D249))="NO",INDEX(Cat_HMax,MATCH($C249,Cat_Nombre,0)),INDEX(Cat_HMin,MATCH($C249,Cat_Nombre,0))))</f>
        <v/>
      </c>
      <c r="H249" s="16">
        <f>IF($F249&lt;&gt;"OK","",INDEX(Cat_HMax,MATCH($C249,Cat_Nombre,0)))</f>
        <v/>
      </c>
      <c r="I249" s="16">
        <f>IF($F249&lt;&gt;"OK","",(G249+H249)/2)</f>
        <v/>
      </c>
      <c r="J249" s="16">
        <f>IF($F249&lt;&gt;"OK","",G249/HorasDia)</f>
        <v/>
      </c>
      <c r="K249" s="16">
        <f>IF($F249&lt;&gt;"OK","",I249/HorasDia)</f>
        <v/>
      </c>
      <c r="L249" s="16">
        <f>IF($F249&lt;&gt;"OK","",H249/HorasDia)</f>
        <v/>
      </c>
      <c r="M249" s="17">
        <f>IF($F249&lt;&gt;"OK","",IF(UPPER(TRIM($D249))="NO",INDEX(Cat_TMax,MATCH($C249,Cat_Nombre,0)),INDEX(Cat_TMin,MATCH($C249,Cat_Nombre,0))))</f>
        <v/>
      </c>
      <c r="N249" s="17">
        <f>IF($F249&lt;&gt;"OK","",INDEX(Cat_TMax,MATCH($C249,Cat_Nombre,0)))</f>
        <v/>
      </c>
      <c r="O249" s="18">
        <f>IF($F249&lt;&gt;"OK","",INDEX(Cat_POpus,MATCH($C249,Cat_Nombre,0)))</f>
        <v/>
      </c>
      <c r="P249" s="19">
        <f>IF($F249&lt;&gt;"OK","",M249/1000000*((1-O249)*UsdM_Sonnet+O249*UsdM_Opus))</f>
        <v/>
      </c>
      <c r="Q249" s="19">
        <f>IF($F249&lt;&gt;"OK","",N249/1000000*((1-O249)*UsdM_Sonnet+O249*UsdM_Opus))</f>
        <v/>
      </c>
      <c r="R249" s="19">
        <f>IF($F249&lt;&gt;"OK","",G249*TarifaHora)</f>
        <v/>
      </c>
      <c r="S249" s="19">
        <f>IF($F249&lt;&gt;"OK","",H249*TarifaHora)</f>
        <v/>
      </c>
      <c r="T249" s="10">
        <f>IF($F249&lt;&gt;"OK","",IF(COUNTIFS($A$2:$A249,$A249,$F$2:$F249,"OK")=1,MAX($T$1:$T248)+1,""))</f>
        <v/>
      </c>
    </row>
    <row r="250">
      <c r="A250" s="11" t="n"/>
      <c r="B250" s="11" t="n"/>
      <c r="C250" s="11" t="n"/>
      <c r="D250" s="11" t="n"/>
      <c r="E250" s="11" t="n"/>
      <c r="F250" s="10">
        <f>IF(AND($A250="",$B250="",$C250=""),"",IF($A250="","⚠ Falta hito",IF(ISNA(MATCH($C250,Cat_Nombre,0)),"⚠ Categoría inválida","OK")))</f>
        <v/>
      </c>
      <c r="G250" s="16">
        <f>IF($F250&lt;&gt;"OK","",IF(UPPER(TRIM($D250))="NO",INDEX(Cat_HMax,MATCH($C250,Cat_Nombre,0)),INDEX(Cat_HMin,MATCH($C250,Cat_Nombre,0))))</f>
        <v/>
      </c>
      <c r="H250" s="16">
        <f>IF($F250&lt;&gt;"OK","",INDEX(Cat_HMax,MATCH($C250,Cat_Nombre,0)))</f>
        <v/>
      </c>
      <c r="I250" s="16">
        <f>IF($F250&lt;&gt;"OK","",(G250+H250)/2)</f>
        <v/>
      </c>
      <c r="J250" s="16">
        <f>IF($F250&lt;&gt;"OK","",G250/HorasDia)</f>
        <v/>
      </c>
      <c r="K250" s="16">
        <f>IF($F250&lt;&gt;"OK","",I250/HorasDia)</f>
        <v/>
      </c>
      <c r="L250" s="16">
        <f>IF($F250&lt;&gt;"OK","",H250/HorasDia)</f>
        <v/>
      </c>
      <c r="M250" s="17">
        <f>IF($F250&lt;&gt;"OK","",IF(UPPER(TRIM($D250))="NO",INDEX(Cat_TMax,MATCH($C250,Cat_Nombre,0)),INDEX(Cat_TMin,MATCH($C250,Cat_Nombre,0))))</f>
        <v/>
      </c>
      <c r="N250" s="17">
        <f>IF($F250&lt;&gt;"OK","",INDEX(Cat_TMax,MATCH($C250,Cat_Nombre,0)))</f>
        <v/>
      </c>
      <c r="O250" s="18">
        <f>IF($F250&lt;&gt;"OK","",INDEX(Cat_POpus,MATCH($C250,Cat_Nombre,0)))</f>
        <v/>
      </c>
      <c r="P250" s="19">
        <f>IF($F250&lt;&gt;"OK","",M250/1000000*((1-O250)*UsdM_Sonnet+O250*UsdM_Opus))</f>
        <v/>
      </c>
      <c r="Q250" s="19">
        <f>IF($F250&lt;&gt;"OK","",N250/1000000*((1-O250)*UsdM_Sonnet+O250*UsdM_Opus))</f>
        <v/>
      </c>
      <c r="R250" s="19">
        <f>IF($F250&lt;&gt;"OK","",G250*TarifaHora)</f>
        <v/>
      </c>
      <c r="S250" s="19">
        <f>IF($F250&lt;&gt;"OK","",H250*TarifaHora)</f>
        <v/>
      </c>
      <c r="T250" s="10">
        <f>IF($F250&lt;&gt;"OK","",IF(COUNTIFS($A$2:$A250,$A250,$F$2:$F250,"OK")=1,MAX($T$1:$T249)+1,""))</f>
        <v/>
      </c>
    </row>
    <row r="251">
      <c r="A251" s="11" t="n"/>
      <c r="B251" s="11" t="n"/>
      <c r="C251" s="11" t="n"/>
      <c r="D251" s="11" t="n"/>
      <c r="E251" s="11" t="n"/>
      <c r="F251" s="10">
        <f>IF(AND($A251="",$B251="",$C251=""),"",IF($A251="","⚠ Falta hito",IF(ISNA(MATCH($C251,Cat_Nombre,0)),"⚠ Categoría inválida","OK")))</f>
        <v/>
      </c>
      <c r="G251" s="16">
        <f>IF($F251&lt;&gt;"OK","",IF(UPPER(TRIM($D251))="NO",INDEX(Cat_HMax,MATCH($C251,Cat_Nombre,0)),INDEX(Cat_HMin,MATCH($C251,Cat_Nombre,0))))</f>
        <v/>
      </c>
      <c r="H251" s="16">
        <f>IF($F251&lt;&gt;"OK","",INDEX(Cat_HMax,MATCH($C251,Cat_Nombre,0)))</f>
        <v/>
      </c>
      <c r="I251" s="16">
        <f>IF($F251&lt;&gt;"OK","",(G251+H251)/2)</f>
        <v/>
      </c>
      <c r="J251" s="16">
        <f>IF($F251&lt;&gt;"OK","",G251/HorasDia)</f>
        <v/>
      </c>
      <c r="K251" s="16">
        <f>IF($F251&lt;&gt;"OK","",I251/HorasDia)</f>
        <v/>
      </c>
      <c r="L251" s="16">
        <f>IF($F251&lt;&gt;"OK","",H251/HorasDia)</f>
        <v/>
      </c>
      <c r="M251" s="17">
        <f>IF($F251&lt;&gt;"OK","",IF(UPPER(TRIM($D251))="NO",INDEX(Cat_TMax,MATCH($C251,Cat_Nombre,0)),INDEX(Cat_TMin,MATCH($C251,Cat_Nombre,0))))</f>
        <v/>
      </c>
      <c r="N251" s="17">
        <f>IF($F251&lt;&gt;"OK","",INDEX(Cat_TMax,MATCH($C251,Cat_Nombre,0)))</f>
        <v/>
      </c>
      <c r="O251" s="18">
        <f>IF($F251&lt;&gt;"OK","",INDEX(Cat_POpus,MATCH($C251,Cat_Nombre,0)))</f>
        <v/>
      </c>
      <c r="P251" s="19">
        <f>IF($F251&lt;&gt;"OK","",M251/1000000*((1-O251)*UsdM_Sonnet+O251*UsdM_Opus))</f>
        <v/>
      </c>
      <c r="Q251" s="19">
        <f>IF($F251&lt;&gt;"OK","",N251/1000000*((1-O251)*UsdM_Sonnet+O251*UsdM_Opus))</f>
        <v/>
      </c>
      <c r="R251" s="19">
        <f>IF($F251&lt;&gt;"OK","",G251*TarifaHora)</f>
        <v/>
      </c>
      <c r="S251" s="19">
        <f>IF($F251&lt;&gt;"OK","",H251*TarifaHora)</f>
        <v/>
      </c>
      <c r="T251" s="10">
        <f>IF($F251&lt;&gt;"OK","",IF(COUNTIFS($A$2:$A251,$A251,$F$2:$F251,"OK")=1,MAX($T$1:$T250)+1,""))</f>
        <v/>
      </c>
    </row>
    <row r="252">
      <c r="A252" s="11" t="n"/>
      <c r="B252" s="11" t="n"/>
      <c r="C252" s="11" t="n"/>
      <c r="D252" s="11" t="n"/>
      <c r="E252" s="11" t="n"/>
      <c r="F252" s="10">
        <f>IF(AND($A252="",$B252="",$C252=""),"",IF($A252="","⚠ Falta hito",IF(ISNA(MATCH($C252,Cat_Nombre,0)),"⚠ Categoría inválida","OK")))</f>
        <v/>
      </c>
      <c r="G252" s="16">
        <f>IF($F252&lt;&gt;"OK","",IF(UPPER(TRIM($D252))="NO",INDEX(Cat_HMax,MATCH($C252,Cat_Nombre,0)),INDEX(Cat_HMin,MATCH($C252,Cat_Nombre,0))))</f>
        <v/>
      </c>
      <c r="H252" s="16">
        <f>IF($F252&lt;&gt;"OK","",INDEX(Cat_HMax,MATCH($C252,Cat_Nombre,0)))</f>
        <v/>
      </c>
      <c r="I252" s="16">
        <f>IF($F252&lt;&gt;"OK","",(G252+H252)/2)</f>
        <v/>
      </c>
      <c r="J252" s="16">
        <f>IF($F252&lt;&gt;"OK","",G252/HorasDia)</f>
        <v/>
      </c>
      <c r="K252" s="16">
        <f>IF($F252&lt;&gt;"OK","",I252/HorasDia)</f>
        <v/>
      </c>
      <c r="L252" s="16">
        <f>IF($F252&lt;&gt;"OK","",H252/HorasDia)</f>
        <v/>
      </c>
      <c r="M252" s="17">
        <f>IF($F252&lt;&gt;"OK","",IF(UPPER(TRIM($D252))="NO",INDEX(Cat_TMax,MATCH($C252,Cat_Nombre,0)),INDEX(Cat_TMin,MATCH($C252,Cat_Nombre,0))))</f>
        <v/>
      </c>
      <c r="N252" s="17">
        <f>IF($F252&lt;&gt;"OK","",INDEX(Cat_TMax,MATCH($C252,Cat_Nombre,0)))</f>
        <v/>
      </c>
      <c r="O252" s="18">
        <f>IF($F252&lt;&gt;"OK","",INDEX(Cat_POpus,MATCH($C252,Cat_Nombre,0)))</f>
        <v/>
      </c>
      <c r="P252" s="19">
        <f>IF($F252&lt;&gt;"OK","",M252/1000000*((1-O252)*UsdM_Sonnet+O252*UsdM_Opus))</f>
        <v/>
      </c>
      <c r="Q252" s="19">
        <f>IF($F252&lt;&gt;"OK","",N252/1000000*((1-O252)*UsdM_Sonnet+O252*UsdM_Opus))</f>
        <v/>
      </c>
      <c r="R252" s="19">
        <f>IF($F252&lt;&gt;"OK","",G252*TarifaHora)</f>
        <v/>
      </c>
      <c r="S252" s="19">
        <f>IF($F252&lt;&gt;"OK","",H252*TarifaHora)</f>
        <v/>
      </c>
      <c r="T252" s="10">
        <f>IF($F252&lt;&gt;"OK","",IF(COUNTIFS($A$2:$A252,$A252,$F$2:$F252,"OK")=1,MAX($T$1:$T251)+1,""))</f>
        <v/>
      </c>
    </row>
    <row r="253">
      <c r="A253" s="11" t="n"/>
      <c r="B253" s="11" t="n"/>
      <c r="C253" s="11" t="n"/>
      <c r="D253" s="11" t="n"/>
      <c r="E253" s="11" t="n"/>
      <c r="F253" s="10">
        <f>IF(AND($A253="",$B253="",$C253=""),"",IF($A253="","⚠ Falta hito",IF(ISNA(MATCH($C253,Cat_Nombre,0)),"⚠ Categoría inválida","OK")))</f>
        <v/>
      </c>
      <c r="G253" s="16">
        <f>IF($F253&lt;&gt;"OK","",IF(UPPER(TRIM($D253))="NO",INDEX(Cat_HMax,MATCH($C253,Cat_Nombre,0)),INDEX(Cat_HMin,MATCH($C253,Cat_Nombre,0))))</f>
        <v/>
      </c>
      <c r="H253" s="16">
        <f>IF($F253&lt;&gt;"OK","",INDEX(Cat_HMax,MATCH($C253,Cat_Nombre,0)))</f>
        <v/>
      </c>
      <c r="I253" s="16">
        <f>IF($F253&lt;&gt;"OK","",(G253+H253)/2)</f>
        <v/>
      </c>
      <c r="J253" s="16">
        <f>IF($F253&lt;&gt;"OK","",G253/HorasDia)</f>
        <v/>
      </c>
      <c r="K253" s="16">
        <f>IF($F253&lt;&gt;"OK","",I253/HorasDia)</f>
        <v/>
      </c>
      <c r="L253" s="16">
        <f>IF($F253&lt;&gt;"OK","",H253/HorasDia)</f>
        <v/>
      </c>
      <c r="M253" s="17">
        <f>IF($F253&lt;&gt;"OK","",IF(UPPER(TRIM($D253))="NO",INDEX(Cat_TMax,MATCH($C253,Cat_Nombre,0)),INDEX(Cat_TMin,MATCH($C253,Cat_Nombre,0))))</f>
        <v/>
      </c>
      <c r="N253" s="17">
        <f>IF($F253&lt;&gt;"OK","",INDEX(Cat_TMax,MATCH($C253,Cat_Nombre,0)))</f>
        <v/>
      </c>
      <c r="O253" s="18">
        <f>IF($F253&lt;&gt;"OK","",INDEX(Cat_POpus,MATCH($C253,Cat_Nombre,0)))</f>
        <v/>
      </c>
      <c r="P253" s="19">
        <f>IF($F253&lt;&gt;"OK","",M253/1000000*((1-O253)*UsdM_Sonnet+O253*UsdM_Opus))</f>
        <v/>
      </c>
      <c r="Q253" s="19">
        <f>IF($F253&lt;&gt;"OK","",N253/1000000*((1-O253)*UsdM_Sonnet+O253*UsdM_Opus))</f>
        <v/>
      </c>
      <c r="R253" s="19">
        <f>IF($F253&lt;&gt;"OK","",G253*TarifaHora)</f>
        <v/>
      </c>
      <c r="S253" s="19">
        <f>IF($F253&lt;&gt;"OK","",H253*TarifaHora)</f>
        <v/>
      </c>
      <c r="T253" s="10">
        <f>IF($F253&lt;&gt;"OK","",IF(COUNTIFS($A$2:$A253,$A253,$F$2:$F253,"OK")=1,MAX($T$1:$T252)+1,""))</f>
        <v/>
      </c>
    </row>
    <row r="254">
      <c r="A254" s="11" t="n"/>
      <c r="B254" s="11" t="n"/>
      <c r="C254" s="11" t="n"/>
      <c r="D254" s="11" t="n"/>
      <c r="E254" s="11" t="n"/>
      <c r="F254" s="10">
        <f>IF(AND($A254="",$B254="",$C254=""),"",IF($A254="","⚠ Falta hito",IF(ISNA(MATCH($C254,Cat_Nombre,0)),"⚠ Categoría inválida","OK")))</f>
        <v/>
      </c>
      <c r="G254" s="16">
        <f>IF($F254&lt;&gt;"OK","",IF(UPPER(TRIM($D254))="NO",INDEX(Cat_HMax,MATCH($C254,Cat_Nombre,0)),INDEX(Cat_HMin,MATCH($C254,Cat_Nombre,0))))</f>
        <v/>
      </c>
      <c r="H254" s="16">
        <f>IF($F254&lt;&gt;"OK","",INDEX(Cat_HMax,MATCH($C254,Cat_Nombre,0)))</f>
        <v/>
      </c>
      <c r="I254" s="16">
        <f>IF($F254&lt;&gt;"OK","",(G254+H254)/2)</f>
        <v/>
      </c>
      <c r="J254" s="16">
        <f>IF($F254&lt;&gt;"OK","",G254/HorasDia)</f>
        <v/>
      </c>
      <c r="K254" s="16">
        <f>IF($F254&lt;&gt;"OK","",I254/HorasDia)</f>
        <v/>
      </c>
      <c r="L254" s="16">
        <f>IF($F254&lt;&gt;"OK","",H254/HorasDia)</f>
        <v/>
      </c>
      <c r="M254" s="17">
        <f>IF($F254&lt;&gt;"OK","",IF(UPPER(TRIM($D254))="NO",INDEX(Cat_TMax,MATCH($C254,Cat_Nombre,0)),INDEX(Cat_TMin,MATCH($C254,Cat_Nombre,0))))</f>
        <v/>
      </c>
      <c r="N254" s="17">
        <f>IF($F254&lt;&gt;"OK","",INDEX(Cat_TMax,MATCH($C254,Cat_Nombre,0)))</f>
        <v/>
      </c>
      <c r="O254" s="18">
        <f>IF($F254&lt;&gt;"OK","",INDEX(Cat_POpus,MATCH($C254,Cat_Nombre,0)))</f>
        <v/>
      </c>
      <c r="P254" s="19">
        <f>IF($F254&lt;&gt;"OK","",M254/1000000*((1-O254)*UsdM_Sonnet+O254*UsdM_Opus))</f>
        <v/>
      </c>
      <c r="Q254" s="19">
        <f>IF($F254&lt;&gt;"OK","",N254/1000000*((1-O254)*UsdM_Sonnet+O254*UsdM_Opus))</f>
        <v/>
      </c>
      <c r="R254" s="19">
        <f>IF($F254&lt;&gt;"OK","",G254*TarifaHora)</f>
        <v/>
      </c>
      <c r="S254" s="19">
        <f>IF($F254&lt;&gt;"OK","",H254*TarifaHora)</f>
        <v/>
      </c>
      <c r="T254" s="10">
        <f>IF($F254&lt;&gt;"OK","",IF(COUNTIFS($A$2:$A254,$A254,$F$2:$F254,"OK")=1,MAX($T$1:$T253)+1,""))</f>
        <v/>
      </c>
    </row>
    <row r="255">
      <c r="A255" s="11" t="n"/>
      <c r="B255" s="11" t="n"/>
      <c r="C255" s="11" t="n"/>
      <c r="D255" s="11" t="n"/>
      <c r="E255" s="11" t="n"/>
      <c r="F255" s="10">
        <f>IF(AND($A255="",$B255="",$C255=""),"",IF($A255="","⚠ Falta hito",IF(ISNA(MATCH($C255,Cat_Nombre,0)),"⚠ Categoría inválida","OK")))</f>
        <v/>
      </c>
      <c r="G255" s="16">
        <f>IF($F255&lt;&gt;"OK","",IF(UPPER(TRIM($D255))="NO",INDEX(Cat_HMax,MATCH($C255,Cat_Nombre,0)),INDEX(Cat_HMin,MATCH($C255,Cat_Nombre,0))))</f>
        <v/>
      </c>
      <c r="H255" s="16">
        <f>IF($F255&lt;&gt;"OK","",INDEX(Cat_HMax,MATCH($C255,Cat_Nombre,0)))</f>
        <v/>
      </c>
      <c r="I255" s="16">
        <f>IF($F255&lt;&gt;"OK","",(G255+H255)/2)</f>
        <v/>
      </c>
      <c r="J255" s="16">
        <f>IF($F255&lt;&gt;"OK","",G255/HorasDia)</f>
        <v/>
      </c>
      <c r="K255" s="16">
        <f>IF($F255&lt;&gt;"OK","",I255/HorasDia)</f>
        <v/>
      </c>
      <c r="L255" s="16">
        <f>IF($F255&lt;&gt;"OK","",H255/HorasDia)</f>
        <v/>
      </c>
      <c r="M255" s="17">
        <f>IF($F255&lt;&gt;"OK","",IF(UPPER(TRIM($D255))="NO",INDEX(Cat_TMax,MATCH($C255,Cat_Nombre,0)),INDEX(Cat_TMin,MATCH($C255,Cat_Nombre,0))))</f>
        <v/>
      </c>
      <c r="N255" s="17">
        <f>IF($F255&lt;&gt;"OK","",INDEX(Cat_TMax,MATCH($C255,Cat_Nombre,0)))</f>
        <v/>
      </c>
      <c r="O255" s="18">
        <f>IF($F255&lt;&gt;"OK","",INDEX(Cat_POpus,MATCH($C255,Cat_Nombre,0)))</f>
        <v/>
      </c>
      <c r="P255" s="19">
        <f>IF($F255&lt;&gt;"OK","",M255/1000000*((1-O255)*UsdM_Sonnet+O255*UsdM_Opus))</f>
        <v/>
      </c>
      <c r="Q255" s="19">
        <f>IF($F255&lt;&gt;"OK","",N255/1000000*((1-O255)*UsdM_Sonnet+O255*UsdM_Opus))</f>
        <v/>
      </c>
      <c r="R255" s="19">
        <f>IF($F255&lt;&gt;"OK","",G255*TarifaHora)</f>
        <v/>
      </c>
      <c r="S255" s="19">
        <f>IF($F255&lt;&gt;"OK","",H255*TarifaHora)</f>
        <v/>
      </c>
      <c r="T255" s="10">
        <f>IF($F255&lt;&gt;"OK","",IF(COUNTIFS($A$2:$A255,$A255,$F$2:$F255,"OK")=1,MAX($T$1:$T254)+1,""))</f>
        <v/>
      </c>
    </row>
    <row r="256">
      <c r="A256" s="11" t="n"/>
      <c r="B256" s="11" t="n"/>
      <c r="C256" s="11" t="n"/>
      <c r="D256" s="11" t="n"/>
      <c r="E256" s="11" t="n"/>
      <c r="F256" s="10">
        <f>IF(AND($A256="",$B256="",$C256=""),"",IF($A256="","⚠ Falta hito",IF(ISNA(MATCH($C256,Cat_Nombre,0)),"⚠ Categoría inválida","OK")))</f>
        <v/>
      </c>
      <c r="G256" s="16">
        <f>IF($F256&lt;&gt;"OK","",IF(UPPER(TRIM($D256))="NO",INDEX(Cat_HMax,MATCH($C256,Cat_Nombre,0)),INDEX(Cat_HMin,MATCH($C256,Cat_Nombre,0))))</f>
        <v/>
      </c>
      <c r="H256" s="16">
        <f>IF($F256&lt;&gt;"OK","",INDEX(Cat_HMax,MATCH($C256,Cat_Nombre,0)))</f>
        <v/>
      </c>
      <c r="I256" s="16">
        <f>IF($F256&lt;&gt;"OK","",(G256+H256)/2)</f>
        <v/>
      </c>
      <c r="J256" s="16">
        <f>IF($F256&lt;&gt;"OK","",G256/HorasDia)</f>
        <v/>
      </c>
      <c r="K256" s="16">
        <f>IF($F256&lt;&gt;"OK","",I256/HorasDia)</f>
        <v/>
      </c>
      <c r="L256" s="16">
        <f>IF($F256&lt;&gt;"OK","",H256/HorasDia)</f>
        <v/>
      </c>
      <c r="M256" s="17">
        <f>IF($F256&lt;&gt;"OK","",IF(UPPER(TRIM($D256))="NO",INDEX(Cat_TMax,MATCH($C256,Cat_Nombre,0)),INDEX(Cat_TMin,MATCH($C256,Cat_Nombre,0))))</f>
        <v/>
      </c>
      <c r="N256" s="17">
        <f>IF($F256&lt;&gt;"OK","",INDEX(Cat_TMax,MATCH($C256,Cat_Nombre,0)))</f>
        <v/>
      </c>
      <c r="O256" s="18">
        <f>IF($F256&lt;&gt;"OK","",INDEX(Cat_POpus,MATCH($C256,Cat_Nombre,0)))</f>
        <v/>
      </c>
      <c r="P256" s="19">
        <f>IF($F256&lt;&gt;"OK","",M256/1000000*((1-O256)*UsdM_Sonnet+O256*UsdM_Opus))</f>
        <v/>
      </c>
      <c r="Q256" s="19">
        <f>IF($F256&lt;&gt;"OK","",N256/1000000*((1-O256)*UsdM_Sonnet+O256*UsdM_Opus))</f>
        <v/>
      </c>
      <c r="R256" s="19">
        <f>IF($F256&lt;&gt;"OK","",G256*TarifaHora)</f>
        <v/>
      </c>
      <c r="S256" s="19">
        <f>IF($F256&lt;&gt;"OK","",H256*TarifaHora)</f>
        <v/>
      </c>
      <c r="T256" s="10">
        <f>IF($F256&lt;&gt;"OK","",IF(COUNTIFS($A$2:$A256,$A256,$F$2:$F256,"OK")=1,MAX($T$1:$T255)+1,""))</f>
        <v/>
      </c>
    </row>
    <row r="257">
      <c r="A257" s="11" t="n"/>
      <c r="B257" s="11" t="n"/>
      <c r="C257" s="11" t="n"/>
      <c r="D257" s="11" t="n"/>
      <c r="E257" s="11" t="n"/>
      <c r="F257" s="10">
        <f>IF(AND($A257="",$B257="",$C257=""),"",IF($A257="","⚠ Falta hito",IF(ISNA(MATCH($C257,Cat_Nombre,0)),"⚠ Categoría inválida","OK")))</f>
        <v/>
      </c>
      <c r="G257" s="16">
        <f>IF($F257&lt;&gt;"OK","",IF(UPPER(TRIM($D257))="NO",INDEX(Cat_HMax,MATCH($C257,Cat_Nombre,0)),INDEX(Cat_HMin,MATCH($C257,Cat_Nombre,0))))</f>
        <v/>
      </c>
      <c r="H257" s="16">
        <f>IF($F257&lt;&gt;"OK","",INDEX(Cat_HMax,MATCH($C257,Cat_Nombre,0)))</f>
        <v/>
      </c>
      <c r="I257" s="16">
        <f>IF($F257&lt;&gt;"OK","",(G257+H257)/2)</f>
        <v/>
      </c>
      <c r="J257" s="16">
        <f>IF($F257&lt;&gt;"OK","",G257/HorasDia)</f>
        <v/>
      </c>
      <c r="K257" s="16">
        <f>IF($F257&lt;&gt;"OK","",I257/HorasDia)</f>
        <v/>
      </c>
      <c r="L257" s="16">
        <f>IF($F257&lt;&gt;"OK","",H257/HorasDia)</f>
        <v/>
      </c>
      <c r="M257" s="17">
        <f>IF($F257&lt;&gt;"OK","",IF(UPPER(TRIM($D257))="NO",INDEX(Cat_TMax,MATCH($C257,Cat_Nombre,0)),INDEX(Cat_TMin,MATCH($C257,Cat_Nombre,0))))</f>
        <v/>
      </c>
      <c r="N257" s="17">
        <f>IF($F257&lt;&gt;"OK","",INDEX(Cat_TMax,MATCH($C257,Cat_Nombre,0)))</f>
        <v/>
      </c>
      <c r="O257" s="18">
        <f>IF($F257&lt;&gt;"OK","",INDEX(Cat_POpus,MATCH($C257,Cat_Nombre,0)))</f>
        <v/>
      </c>
      <c r="P257" s="19">
        <f>IF($F257&lt;&gt;"OK","",M257/1000000*((1-O257)*UsdM_Sonnet+O257*UsdM_Opus))</f>
        <v/>
      </c>
      <c r="Q257" s="19">
        <f>IF($F257&lt;&gt;"OK","",N257/1000000*((1-O257)*UsdM_Sonnet+O257*UsdM_Opus))</f>
        <v/>
      </c>
      <c r="R257" s="19">
        <f>IF($F257&lt;&gt;"OK","",G257*TarifaHora)</f>
        <v/>
      </c>
      <c r="S257" s="19">
        <f>IF($F257&lt;&gt;"OK","",H257*TarifaHora)</f>
        <v/>
      </c>
      <c r="T257" s="10">
        <f>IF($F257&lt;&gt;"OK","",IF(COUNTIFS($A$2:$A257,$A257,$F$2:$F257,"OK")=1,MAX($T$1:$T256)+1,""))</f>
        <v/>
      </c>
    </row>
    <row r="258">
      <c r="A258" s="11" t="n"/>
      <c r="B258" s="11" t="n"/>
      <c r="C258" s="11" t="n"/>
      <c r="D258" s="11" t="n"/>
      <c r="E258" s="11" t="n"/>
      <c r="F258" s="10">
        <f>IF(AND($A258="",$B258="",$C258=""),"",IF($A258="","⚠ Falta hito",IF(ISNA(MATCH($C258,Cat_Nombre,0)),"⚠ Categoría inválida","OK")))</f>
        <v/>
      </c>
      <c r="G258" s="16">
        <f>IF($F258&lt;&gt;"OK","",IF(UPPER(TRIM($D258))="NO",INDEX(Cat_HMax,MATCH($C258,Cat_Nombre,0)),INDEX(Cat_HMin,MATCH($C258,Cat_Nombre,0))))</f>
        <v/>
      </c>
      <c r="H258" s="16">
        <f>IF($F258&lt;&gt;"OK","",INDEX(Cat_HMax,MATCH($C258,Cat_Nombre,0)))</f>
        <v/>
      </c>
      <c r="I258" s="16">
        <f>IF($F258&lt;&gt;"OK","",(G258+H258)/2)</f>
        <v/>
      </c>
      <c r="J258" s="16">
        <f>IF($F258&lt;&gt;"OK","",G258/HorasDia)</f>
        <v/>
      </c>
      <c r="K258" s="16">
        <f>IF($F258&lt;&gt;"OK","",I258/HorasDia)</f>
        <v/>
      </c>
      <c r="L258" s="16">
        <f>IF($F258&lt;&gt;"OK","",H258/HorasDia)</f>
        <v/>
      </c>
      <c r="M258" s="17">
        <f>IF($F258&lt;&gt;"OK","",IF(UPPER(TRIM($D258))="NO",INDEX(Cat_TMax,MATCH($C258,Cat_Nombre,0)),INDEX(Cat_TMin,MATCH($C258,Cat_Nombre,0))))</f>
        <v/>
      </c>
      <c r="N258" s="17">
        <f>IF($F258&lt;&gt;"OK","",INDEX(Cat_TMax,MATCH($C258,Cat_Nombre,0)))</f>
        <v/>
      </c>
      <c r="O258" s="18">
        <f>IF($F258&lt;&gt;"OK","",INDEX(Cat_POpus,MATCH($C258,Cat_Nombre,0)))</f>
        <v/>
      </c>
      <c r="P258" s="19">
        <f>IF($F258&lt;&gt;"OK","",M258/1000000*((1-O258)*UsdM_Sonnet+O258*UsdM_Opus))</f>
        <v/>
      </c>
      <c r="Q258" s="19">
        <f>IF($F258&lt;&gt;"OK","",N258/1000000*((1-O258)*UsdM_Sonnet+O258*UsdM_Opus))</f>
        <v/>
      </c>
      <c r="R258" s="19">
        <f>IF($F258&lt;&gt;"OK","",G258*TarifaHora)</f>
        <v/>
      </c>
      <c r="S258" s="19">
        <f>IF($F258&lt;&gt;"OK","",H258*TarifaHora)</f>
        <v/>
      </c>
      <c r="T258" s="10">
        <f>IF($F258&lt;&gt;"OK","",IF(COUNTIFS($A$2:$A258,$A258,$F$2:$F258,"OK")=1,MAX($T$1:$T257)+1,""))</f>
        <v/>
      </c>
    </row>
    <row r="259">
      <c r="A259" s="11" t="n"/>
      <c r="B259" s="11" t="n"/>
      <c r="C259" s="11" t="n"/>
      <c r="D259" s="11" t="n"/>
      <c r="E259" s="11" t="n"/>
      <c r="F259" s="10">
        <f>IF(AND($A259="",$B259="",$C259=""),"",IF($A259="","⚠ Falta hito",IF(ISNA(MATCH($C259,Cat_Nombre,0)),"⚠ Categoría inválida","OK")))</f>
        <v/>
      </c>
      <c r="G259" s="16">
        <f>IF($F259&lt;&gt;"OK","",IF(UPPER(TRIM($D259))="NO",INDEX(Cat_HMax,MATCH($C259,Cat_Nombre,0)),INDEX(Cat_HMin,MATCH($C259,Cat_Nombre,0))))</f>
        <v/>
      </c>
      <c r="H259" s="16">
        <f>IF($F259&lt;&gt;"OK","",INDEX(Cat_HMax,MATCH($C259,Cat_Nombre,0)))</f>
        <v/>
      </c>
      <c r="I259" s="16">
        <f>IF($F259&lt;&gt;"OK","",(G259+H259)/2)</f>
        <v/>
      </c>
      <c r="J259" s="16">
        <f>IF($F259&lt;&gt;"OK","",G259/HorasDia)</f>
        <v/>
      </c>
      <c r="K259" s="16">
        <f>IF($F259&lt;&gt;"OK","",I259/HorasDia)</f>
        <v/>
      </c>
      <c r="L259" s="16">
        <f>IF($F259&lt;&gt;"OK","",H259/HorasDia)</f>
        <v/>
      </c>
      <c r="M259" s="17">
        <f>IF($F259&lt;&gt;"OK","",IF(UPPER(TRIM($D259))="NO",INDEX(Cat_TMax,MATCH($C259,Cat_Nombre,0)),INDEX(Cat_TMin,MATCH($C259,Cat_Nombre,0))))</f>
        <v/>
      </c>
      <c r="N259" s="17">
        <f>IF($F259&lt;&gt;"OK","",INDEX(Cat_TMax,MATCH($C259,Cat_Nombre,0)))</f>
        <v/>
      </c>
      <c r="O259" s="18">
        <f>IF($F259&lt;&gt;"OK","",INDEX(Cat_POpus,MATCH($C259,Cat_Nombre,0)))</f>
        <v/>
      </c>
      <c r="P259" s="19">
        <f>IF($F259&lt;&gt;"OK","",M259/1000000*((1-O259)*UsdM_Sonnet+O259*UsdM_Opus))</f>
        <v/>
      </c>
      <c r="Q259" s="19">
        <f>IF($F259&lt;&gt;"OK","",N259/1000000*((1-O259)*UsdM_Sonnet+O259*UsdM_Opus))</f>
        <v/>
      </c>
      <c r="R259" s="19">
        <f>IF($F259&lt;&gt;"OK","",G259*TarifaHora)</f>
        <v/>
      </c>
      <c r="S259" s="19">
        <f>IF($F259&lt;&gt;"OK","",H259*TarifaHora)</f>
        <v/>
      </c>
      <c r="T259" s="10">
        <f>IF($F259&lt;&gt;"OK","",IF(COUNTIFS($A$2:$A259,$A259,$F$2:$F259,"OK")=1,MAX($T$1:$T258)+1,""))</f>
        <v/>
      </c>
    </row>
    <row r="260">
      <c r="A260" s="11" t="n"/>
      <c r="B260" s="11" t="n"/>
      <c r="C260" s="11" t="n"/>
      <c r="D260" s="11" t="n"/>
      <c r="E260" s="11" t="n"/>
      <c r="F260" s="10">
        <f>IF(AND($A260="",$B260="",$C260=""),"",IF($A260="","⚠ Falta hito",IF(ISNA(MATCH($C260,Cat_Nombre,0)),"⚠ Categoría inválida","OK")))</f>
        <v/>
      </c>
      <c r="G260" s="16">
        <f>IF($F260&lt;&gt;"OK","",IF(UPPER(TRIM($D260))="NO",INDEX(Cat_HMax,MATCH($C260,Cat_Nombre,0)),INDEX(Cat_HMin,MATCH($C260,Cat_Nombre,0))))</f>
        <v/>
      </c>
      <c r="H260" s="16">
        <f>IF($F260&lt;&gt;"OK","",INDEX(Cat_HMax,MATCH($C260,Cat_Nombre,0)))</f>
        <v/>
      </c>
      <c r="I260" s="16">
        <f>IF($F260&lt;&gt;"OK","",(G260+H260)/2)</f>
        <v/>
      </c>
      <c r="J260" s="16">
        <f>IF($F260&lt;&gt;"OK","",G260/HorasDia)</f>
        <v/>
      </c>
      <c r="K260" s="16">
        <f>IF($F260&lt;&gt;"OK","",I260/HorasDia)</f>
        <v/>
      </c>
      <c r="L260" s="16">
        <f>IF($F260&lt;&gt;"OK","",H260/HorasDia)</f>
        <v/>
      </c>
      <c r="M260" s="17">
        <f>IF($F260&lt;&gt;"OK","",IF(UPPER(TRIM($D260))="NO",INDEX(Cat_TMax,MATCH($C260,Cat_Nombre,0)),INDEX(Cat_TMin,MATCH($C260,Cat_Nombre,0))))</f>
        <v/>
      </c>
      <c r="N260" s="17">
        <f>IF($F260&lt;&gt;"OK","",INDEX(Cat_TMax,MATCH($C260,Cat_Nombre,0)))</f>
        <v/>
      </c>
      <c r="O260" s="18">
        <f>IF($F260&lt;&gt;"OK","",INDEX(Cat_POpus,MATCH($C260,Cat_Nombre,0)))</f>
        <v/>
      </c>
      <c r="P260" s="19">
        <f>IF($F260&lt;&gt;"OK","",M260/1000000*((1-O260)*UsdM_Sonnet+O260*UsdM_Opus))</f>
        <v/>
      </c>
      <c r="Q260" s="19">
        <f>IF($F260&lt;&gt;"OK","",N260/1000000*((1-O260)*UsdM_Sonnet+O260*UsdM_Opus))</f>
        <v/>
      </c>
      <c r="R260" s="19">
        <f>IF($F260&lt;&gt;"OK","",G260*TarifaHora)</f>
        <v/>
      </c>
      <c r="S260" s="19">
        <f>IF($F260&lt;&gt;"OK","",H260*TarifaHora)</f>
        <v/>
      </c>
      <c r="T260" s="10">
        <f>IF($F260&lt;&gt;"OK","",IF(COUNTIFS($A$2:$A260,$A260,$F$2:$F260,"OK")=1,MAX($T$1:$T259)+1,""))</f>
        <v/>
      </c>
    </row>
    <row r="261">
      <c r="A261" s="11" t="n"/>
      <c r="B261" s="11" t="n"/>
      <c r="C261" s="11" t="n"/>
      <c r="D261" s="11" t="n"/>
      <c r="E261" s="11" t="n"/>
      <c r="F261" s="10">
        <f>IF(AND($A261="",$B261="",$C261=""),"",IF($A261="","⚠ Falta hito",IF(ISNA(MATCH($C261,Cat_Nombre,0)),"⚠ Categoría inválida","OK")))</f>
        <v/>
      </c>
      <c r="G261" s="16">
        <f>IF($F261&lt;&gt;"OK","",IF(UPPER(TRIM($D261))="NO",INDEX(Cat_HMax,MATCH($C261,Cat_Nombre,0)),INDEX(Cat_HMin,MATCH($C261,Cat_Nombre,0))))</f>
        <v/>
      </c>
      <c r="H261" s="16">
        <f>IF($F261&lt;&gt;"OK","",INDEX(Cat_HMax,MATCH($C261,Cat_Nombre,0)))</f>
        <v/>
      </c>
      <c r="I261" s="16">
        <f>IF($F261&lt;&gt;"OK","",(G261+H261)/2)</f>
        <v/>
      </c>
      <c r="J261" s="16">
        <f>IF($F261&lt;&gt;"OK","",G261/HorasDia)</f>
        <v/>
      </c>
      <c r="K261" s="16">
        <f>IF($F261&lt;&gt;"OK","",I261/HorasDia)</f>
        <v/>
      </c>
      <c r="L261" s="16">
        <f>IF($F261&lt;&gt;"OK","",H261/HorasDia)</f>
        <v/>
      </c>
      <c r="M261" s="17">
        <f>IF($F261&lt;&gt;"OK","",IF(UPPER(TRIM($D261))="NO",INDEX(Cat_TMax,MATCH($C261,Cat_Nombre,0)),INDEX(Cat_TMin,MATCH($C261,Cat_Nombre,0))))</f>
        <v/>
      </c>
      <c r="N261" s="17">
        <f>IF($F261&lt;&gt;"OK","",INDEX(Cat_TMax,MATCH($C261,Cat_Nombre,0)))</f>
        <v/>
      </c>
      <c r="O261" s="18">
        <f>IF($F261&lt;&gt;"OK","",INDEX(Cat_POpus,MATCH($C261,Cat_Nombre,0)))</f>
        <v/>
      </c>
      <c r="P261" s="19">
        <f>IF($F261&lt;&gt;"OK","",M261/1000000*((1-O261)*UsdM_Sonnet+O261*UsdM_Opus))</f>
        <v/>
      </c>
      <c r="Q261" s="19">
        <f>IF($F261&lt;&gt;"OK","",N261/1000000*((1-O261)*UsdM_Sonnet+O261*UsdM_Opus))</f>
        <v/>
      </c>
      <c r="R261" s="19">
        <f>IF($F261&lt;&gt;"OK","",G261*TarifaHora)</f>
        <v/>
      </c>
      <c r="S261" s="19">
        <f>IF($F261&lt;&gt;"OK","",H261*TarifaHora)</f>
        <v/>
      </c>
      <c r="T261" s="10">
        <f>IF($F261&lt;&gt;"OK","",IF(COUNTIFS($A$2:$A261,$A261,$F$2:$F261,"OK")=1,MAX($T$1:$T260)+1,""))</f>
        <v/>
      </c>
    </row>
    <row r="262">
      <c r="A262" s="11" t="n"/>
      <c r="B262" s="11" t="n"/>
      <c r="C262" s="11" t="n"/>
      <c r="D262" s="11" t="n"/>
      <c r="E262" s="11" t="n"/>
      <c r="F262" s="10">
        <f>IF(AND($A262="",$B262="",$C262=""),"",IF($A262="","⚠ Falta hito",IF(ISNA(MATCH($C262,Cat_Nombre,0)),"⚠ Categoría inválida","OK")))</f>
        <v/>
      </c>
      <c r="G262" s="16">
        <f>IF($F262&lt;&gt;"OK","",IF(UPPER(TRIM($D262))="NO",INDEX(Cat_HMax,MATCH($C262,Cat_Nombre,0)),INDEX(Cat_HMin,MATCH($C262,Cat_Nombre,0))))</f>
        <v/>
      </c>
      <c r="H262" s="16">
        <f>IF($F262&lt;&gt;"OK","",INDEX(Cat_HMax,MATCH($C262,Cat_Nombre,0)))</f>
        <v/>
      </c>
      <c r="I262" s="16">
        <f>IF($F262&lt;&gt;"OK","",(G262+H262)/2)</f>
        <v/>
      </c>
      <c r="J262" s="16">
        <f>IF($F262&lt;&gt;"OK","",G262/HorasDia)</f>
        <v/>
      </c>
      <c r="K262" s="16">
        <f>IF($F262&lt;&gt;"OK","",I262/HorasDia)</f>
        <v/>
      </c>
      <c r="L262" s="16">
        <f>IF($F262&lt;&gt;"OK","",H262/HorasDia)</f>
        <v/>
      </c>
      <c r="M262" s="17">
        <f>IF($F262&lt;&gt;"OK","",IF(UPPER(TRIM($D262))="NO",INDEX(Cat_TMax,MATCH($C262,Cat_Nombre,0)),INDEX(Cat_TMin,MATCH($C262,Cat_Nombre,0))))</f>
        <v/>
      </c>
      <c r="N262" s="17">
        <f>IF($F262&lt;&gt;"OK","",INDEX(Cat_TMax,MATCH($C262,Cat_Nombre,0)))</f>
        <v/>
      </c>
      <c r="O262" s="18">
        <f>IF($F262&lt;&gt;"OK","",INDEX(Cat_POpus,MATCH($C262,Cat_Nombre,0)))</f>
        <v/>
      </c>
      <c r="P262" s="19">
        <f>IF($F262&lt;&gt;"OK","",M262/1000000*((1-O262)*UsdM_Sonnet+O262*UsdM_Opus))</f>
        <v/>
      </c>
      <c r="Q262" s="19">
        <f>IF($F262&lt;&gt;"OK","",N262/1000000*((1-O262)*UsdM_Sonnet+O262*UsdM_Opus))</f>
        <v/>
      </c>
      <c r="R262" s="19">
        <f>IF($F262&lt;&gt;"OK","",G262*TarifaHora)</f>
        <v/>
      </c>
      <c r="S262" s="19">
        <f>IF($F262&lt;&gt;"OK","",H262*TarifaHora)</f>
        <v/>
      </c>
      <c r="T262" s="10">
        <f>IF($F262&lt;&gt;"OK","",IF(COUNTIFS($A$2:$A262,$A262,$F$2:$F262,"OK")=1,MAX($T$1:$T261)+1,""))</f>
        <v/>
      </c>
    </row>
    <row r="263">
      <c r="A263" s="11" t="n"/>
      <c r="B263" s="11" t="n"/>
      <c r="C263" s="11" t="n"/>
      <c r="D263" s="11" t="n"/>
      <c r="E263" s="11" t="n"/>
      <c r="F263" s="10">
        <f>IF(AND($A263="",$B263="",$C263=""),"",IF($A263="","⚠ Falta hito",IF(ISNA(MATCH($C263,Cat_Nombre,0)),"⚠ Categoría inválida","OK")))</f>
        <v/>
      </c>
      <c r="G263" s="16">
        <f>IF($F263&lt;&gt;"OK","",IF(UPPER(TRIM($D263))="NO",INDEX(Cat_HMax,MATCH($C263,Cat_Nombre,0)),INDEX(Cat_HMin,MATCH($C263,Cat_Nombre,0))))</f>
        <v/>
      </c>
      <c r="H263" s="16">
        <f>IF($F263&lt;&gt;"OK","",INDEX(Cat_HMax,MATCH($C263,Cat_Nombre,0)))</f>
        <v/>
      </c>
      <c r="I263" s="16">
        <f>IF($F263&lt;&gt;"OK","",(G263+H263)/2)</f>
        <v/>
      </c>
      <c r="J263" s="16">
        <f>IF($F263&lt;&gt;"OK","",G263/HorasDia)</f>
        <v/>
      </c>
      <c r="K263" s="16">
        <f>IF($F263&lt;&gt;"OK","",I263/HorasDia)</f>
        <v/>
      </c>
      <c r="L263" s="16">
        <f>IF($F263&lt;&gt;"OK","",H263/HorasDia)</f>
        <v/>
      </c>
      <c r="M263" s="17">
        <f>IF($F263&lt;&gt;"OK","",IF(UPPER(TRIM($D263))="NO",INDEX(Cat_TMax,MATCH($C263,Cat_Nombre,0)),INDEX(Cat_TMin,MATCH($C263,Cat_Nombre,0))))</f>
        <v/>
      </c>
      <c r="N263" s="17">
        <f>IF($F263&lt;&gt;"OK","",INDEX(Cat_TMax,MATCH($C263,Cat_Nombre,0)))</f>
        <v/>
      </c>
      <c r="O263" s="18">
        <f>IF($F263&lt;&gt;"OK","",INDEX(Cat_POpus,MATCH($C263,Cat_Nombre,0)))</f>
        <v/>
      </c>
      <c r="P263" s="19">
        <f>IF($F263&lt;&gt;"OK","",M263/1000000*((1-O263)*UsdM_Sonnet+O263*UsdM_Opus))</f>
        <v/>
      </c>
      <c r="Q263" s="19">
        <f>IF($F263&lt;&gt;"OK","",N263/1000000*((1-O263)*UsdM_Sonnet+O263*UsdM_Opus))</f>
        <v/>
      </c>
      <c r="R263" s="19">
        <f>IF($F263&lt;&gt;"OK","",G263*TarifaHora)</f>
        <v/>
      </c>
      <c r="S263" s="19">
        <f>IF($F263&lt;&gt;"OK","",H263*TarifaHora)</f>
        <v/>
      </c>
      <c r="T263" s="10">
        <f>IF($F263&lt;&gt;"OK","",IF(COUNTIFS($A$2:$A263,$A263,$F$2:$F263,"OK")=1,MAX($T$1:$T262)+1,""))</f>
        <v/>
      </c>
    </row>
    <row r="264">
      <c r="A264" s="11" t="n"/>
      <c r="B264" s="11" t="n"/>
      <c r="C264" s="11" t="n"/>
      <c r="D264" s="11" t="n"/>
      <c r="E264" s="11" t="n"/>
      <c r="F264" s="10">
        <f>IF(AND($A264="",$B264="",$C264=""),"",IF($A264="","⚠ Falta hito",IF(ISNA(MATCH($C264,Cat_Nombre,0)),"⚠ Categoría inválida","OK")))</f>
        <v/>
      </c>
      <c r="G264" s="16">
        <f>IF($F264&lt;&gt;"OK","",IF(UPPER(TRIM($D264))="NO",INDEX(Cat_HMax,MATCH($C264,Cat_Nombre,0)),INDEX(Cat_HMin,MATCH($C264,Cat_Nombre,0))))</f>
        <v/>
      </c>
      <c r="H264" s="16">
        <f>IF($F264&lt;&gt;"OK","",INDEX(Cat_HMax,MATCH($C264,Cat_Nombre,0)))</f>
        <v/>
      </c>
      <c r="I264" s="16">
        <f>IF($F264&lt;&gt;"OK","",(G264+H264)/2)</f>
        <v/>
      </c>
      <c r="J264" s="16">
        <f>IF($F264&lt;&gt;"OK","",G264/HorasDia)</f>
        <v/>
      </c>
      <c r="K264" s="16">
        <f>IF($F264&lt;&gt;"OK","",I264/HorasDia)</f>
        <v/>
      </c>
      <c r="L264" s="16">
        <f>IF($F264&lt;&gt;"OK","",H264/HorasDia)</f>
        <v/>
      </c>
      <c r="M264" s="17">
        <f>IF($F264&lt;&gt;"OK","",IF(UPPER(TRIM($D264))="NO",INDEX(Cat_TMax,MATCH($C264,Cat_Nombre,0)),INDEX(Cat_TMin,MATCH($C264,Cat_Nombre,0))))</f>
        <v/>
      </c>
      <c r="N264" s="17">
        <f>IF($F264&lt;&gt;"OK","",INDEX(Cat_TMax,MATCH($C264,Cat_Nombre,0)))</f>
        <v/>
      </c>
      <c r="O264" s="18">
        <f>IF($F264&lt;&gt;"OK","",INDEX(Cat_POpus,MATCH($C264,Cat_Nombre,0)))</f>
        <v/>
      </c>
      <c r="P264" s="19">
        <f>IF($F264&lt;&gt;"OK","",M264/1000000*((1-O264)*UsdM_Sonnet+O264*UsdM_Opus))</f>
        <v/>
      </c>
      <c r="Q264" s="19">
        <f>IF($F264&lt;&gt;"OK","",N264/1000000*((1-O264)*UsdM_Sonnet+O264*UsdM_Opus))</f>
        <v/>
      </c>
      <c r="R264" s="19">
        <f>IF($F264&lt;&gt;"OK","",G264*TarifaHora)</f>
        <v/>
      </c>
      <c r="S264" s="19">
        <f>IF($F264&lt;&gt;"OK","",H264*TarifaHora)</f>
        <v/>
      </c>
      <c r="T264" s="10">
        <f>IF($F264&lt;&gt;"OK","",IF(COUNTIFS($A$2:$A264,$A264,$F$2:$F264,"OK")=1,MAX($T$1:$T263)+1,""))</f>
        <v/>
      </c>
    </row>
    <row r="265">
      <c r="A265" s="11" t="n"/>
      <c r="B265" s="11" t="n"/>
      <c r="C265" s="11" t="n"/>
      <c r="D265" s="11" t="n"/>
      <c r="E265" s="11" t="n"/>
      <c r="F265" s="10">
        <f>IF(AND($A265="",$B265="",$C265=""),"",IF($A265="","⚠ Falta hito",IF(ISNA(MATCH($C265,Cat_Nombre,0)),"⚠ Categoría inválida","OK")))</f>
        <v/>
      </c>
      <c r="G265" s="16">
        <f>IF($F265&lt;&gt;"OK","",IF(UPPER(TRIM($D265))="NO",INDEX(Cat_HMax,MATCH($C265,Cat_Nombre,0)),INDEX(Cat_HMin,MATCH($C265,Cat_Nombre,0))))</f>
        <v/>
      </c>
      <c r="H265" s="16">
        <f>IF($F265&lt;&gt;"OK","",INDEX(Cat_HMax,MATCH($C265,Cat_Nombre,0)))</f>
        <v/>
      </c>
      <c r="I265" s="16">
        <f>IF($F265&lt;&gt;"OK","",(G265+H265)/2)</f>
        <v/>
      </c>
      <c r="J265" s="16">
        <f>IF($F265&lt;&gt;"OK","",G265/HorasDia)</f>
        <v/>
      </c>
      <c r="K265" s="16">
        <f>IF($F265&lt;&gt;"OK","",I265/HorasDia)</f>
        <v/>
      </c>
      <c r="L265" s="16">
        <f>IF($F265&lt;&gt;"OK","",H265/HorasDia)</f>
        <v/>
      </c>
      <c r="M265" s="17">
        <f>IF($F265&lt;&gt;"OK","",IF(UPPER(TRIM($D265))="NO",INDEX(Cat_TMax,MATCH($C265,Cat_Nombre,0)),INDEX(Cat_TMin,MATCH($C265,Cat_Nombre,0))))</f>
        <v/>
      </c>
      <c r="N265" s="17">
        <f>IF($F265&lt;&gt;"OK","",INDEX(Cat_TMax,MATCH($C265,Cat_Nombre,0)))</f>
        <v/>
      </c>
      <c r="O265" s="18">
        <f>IF($F265&lt;&gt;"OK","",INDEX(Cat_POpus,MATCH($C265,Cat_Nombre,0)))</f>
        <v/>
      </c>
      <c r="P265" s="19">
        <f>IF($F265&lt;&gt;"OK","",M265/1000000*((1-O265)*UsdM_Sonnet+O265*UsdM_Opus))</f>
        <v/>
      </c>
      <c r="Q265" s="19">
        <f>IF($F265&lt;&gt;"OK","",N265/1000000*((1-O265)*UsdM_Sonnet+O265*UsdM_Opus))</f>
        <v/>
      </c>
      <c r="R265" s="19">
        <f>IF($F265&lt;&gt;"OK","",G265*TarifaHora)</f>
        <v/>
      </c>
      <c r="S265" s="19">
        <f>IF($F265&lt;&gt;"OK","",H265*TarifaHora)</f>
        <v/>
      </c>
      <c r="T265" s="10">
        <f>IF($F265&lt;&gt;"OK","",IF(COUNTIFS($A$2:$A265,$A265,$F$2:$F265,"OK")=1,MAX($T$1:$T264)+1,""))</f>
        <v/>
      </c>
    </row>
    <row r="266">
      <c r="A266" s="11" t="n"/>
      <c r="B266" s="11" t="n"/>
      <c r="C266" s="11" t="n"/>
      <c r="D266" s="11" t="n"/>
      <c r="E266" s="11" t="n"/>
      <c r="F266" s="10">
        <f>IF(AND($A266="",$B266="",$C266=""),"",IF($A266="","⚠ Falta hito",IF(ISNA(MATCH($C266,Cat_Nombre,0)),"⚠ Categoría inválida","OK")))</f>
        <v/>
      </c>
      <c r="G266" s="16">
        <f>IF($F266&lt;&gt;"OK","",IF(UPPER(TRIM($D266))="NO",INDEX(Cat_HMax,MATCH($C266,Cat_Nombre,0)),INDEX(Cat_HMin,MATCH($C266,Cat_Nombre,0))))</f>
        <v/>
      </c>
      <c r="H266" s="16">
        <f>IF($F266&lt;&gt;"OK","",INDEX(Cat_HMax,MATCH($C266,Cat_Nombre,0)))</f>
        <v/>
      </c>
      <c r="I266" s="16">
        <f>IF($F266&lt;&gt;"OK","",(G266+H266)/2)</f>
        <v/>
      </c>
      <c r="J266" s="16">
        <f>IF($F266&lt;&gt;"OK","",G266/HorasDia)</f>
        <v/>
      </c>
      <c r="K266" s="16">
        <f>IF($F266&lt;&gt;"OK","",I266/HorasDia)</f>
        <v/>
      </c>
      <c r="L266" s="16">
        <f>IF($F266&lt;&gt;"OK","",H266/HorasDia)</f>
        <v/>
      </c>
      <c r="M266" s="17">
        <f>IF($F266&lt;&gt;"OK","",IF(UPPER(TRIM($D266))="NO",INDEX(Cat_TMax,MATCH($C266,Cat_Nombre,0)),INDEX(Cat_TMin,MATCH($C266,Cat_Nombre,0))))</f>
        <v/>
      </c>
      <c r="N266" s="17">
        <f>IF($F266&lt;&gt;"OK","",INDEX(Cat_TMax,MATCH($C266,Cat_Nombre,0)))</f>
        <v/>
      </c>
      <c r="O266" s="18">
        <f>IF($F266&lt;&gt;"OK","",INDEX(Cat_POpus,MATCH($C266,Cat_Nombre,0)))</f>
        <v/>
      </c>
      <c r="P266" s="19">
        <f>IF($F266&lt;&gt;"OK","",M266/1000000*((1-O266)*UsdM_Sonnet+O266*UsdM_Opus))</f>
        <v/>
      </c>
      <c r="Q266" s="19">
        <f>IF($F266&lt;&gt;"OK","",N266/1000000*((1-O266)*UsdM_Sonnet+O266*UsdM_Opus))</f>
        <v/>
      </c>
      <c r="R266" s="19">
        <f>IF($F266&lt;&gt;"OK","",G266*TarifaHora)</f>
        <v/>
      </c>
      <c r="S266" s="19">
        <f>IF($F266&lt;&gt;"OK","",H266*TarifaHora)</f>
        <v/>
      </c>
      <c r="T266" s="10">
        <f>IF($F266&lt;&gt;"OK","",IF(COUNTIFS($A$2:$A266,$A266,$F$2:$F266,"OK")=1,MAX($T$1:$T265)+1,""))</f>
        <v/>
      </c>
    </row>
    <row r="267">
      <c r="A267" s="11" t="n"/>
      <c r="B267" s="11" t="n"/>
      <c r="C267" s="11" t="n"/>
      <c r="D267" s="11" t="n"/>
      <c r="E267" s="11" t="n"/>
      <c r="F267" s="10">
        <f>IF(AND($A267="",$B267="",$C267=""),"",IF($A267="","⚠ Falta hito",IF(ISNA(MATCH($C267,Cat_Nombre,0)),"⚠ Categoría inválida","OK")))</f>
        <v/>
      </c>
      <c r="G267" s="16">
        <f>IF($F267&lt;&gt;"OK","",IF(UPPER(TRIM($D267))="NO",INDEX(Cat_HMax,MATCH($C267,Cat_Nombre,0)),INDEX(Cat_HMin,MATCH($C267,Cat_Nombre,0))))</f>
        <v/>
      </c>
      <c r="H267" s="16">
        <f>IF($F267&lt;&gt;"OK","",INDEX(Cat_HMax,MATCH($C267,Cat_Nombre,0)))</f>
        <v/>
      </c>
      <c r="I267" s="16">
        <f>IF($F267&lt;&gt;"OK","",(G267+H267)/2)</f>
        <v/>
      </c>
      <c r="J267" s="16">
        <f>IF($F267&lt;&gt;"OK","",G267/HorasDia)</f>
        <v/>
      </c>
      <c r="K267" s="16">
        <f>IF($F267&lt;&gt;"OK","",I267/HorasDia)</f>
        <v/>
      </c>
      <c r="L267" s="16">
        <f>IF($F267&lt;&gt;"OK","",H267/HorasDia)</f>
        <v/>
      </c>
      <c r="M267" s="17">
        <f>IF($F267&lt;&gt;"OK","",IF(UPPER(TRIM($D267))="NO",INDEX(Cat_TMax,MATCH($C267,Cat_Nombre,0)),INDEX(Cat_TMin,MATCH($C267,Cat_Nombre,0))))</f>
        <v/>
      </c>
      <c r="N267" s="17">
        <f>IF($F267&lt;&gt;"OK","",INDEX(Cat_TMax,MATCH($C267,Cat_Nombre,0)))</f>
        <v/>
      </c>
      <c r="O267" s="18">
        <f>IF($F267&lt;&gt;"OK","",INDEX(Cat_POpus,MATCH($C267,Cat_Nombre,0)))</f>
        <v/>
      </c>
      <c r="P267" s="19">
        <f>IF($F267&lt;&gt;"OK","",M267/1000000*((1-O267)*UsdM_Sonnet+O267*UsdM_Opus))</f>
        <v/>
      </c>
      <c r="Q267" s="19">
        <f>IF($F267&lt;&gt;"OK","",N267/1000000*((1-O267)*UsdM_Sonnet+O267*UsdM_Opus))</f>
        <v/>
      </c>
      <c r="R267" s="19">
        <f>IF($F267&lt;&gt;"OK","",G267*TarifaHora)</f>
        <v/>
      </c>
      <c r="S267" s="19">
        <f>IF($F267&lt;&gt;"OK","",H267*TarifaHora)</f>
        <v/>
      </c>
      <c r="T267" s="10">
        <f>IF($F267&lt;&gt;"OK","",IF(COUNTIFS($A$2:$A267,$A267,$F$2:$F267,"OK")=1,MAX($T$1:$T266)+1,""))</f>
        <v/>
      </c>
    </row>
    <row r="268">
      <c r="A268" s="11" t="n"/>
      <c r="B268" s="11" t="n"/>
      <c r="C268" s="11" t="n"/>
      <c r="D268" s="11" t="n"/>
      <c r="E268" s="11" t="n"/>
      <c r="F268" s="10">
        <f>IF(AND($A268="",$B268="",$C268=""),"",IF($A268="","⚠ Falta hito",IF(ISNA(MATCH($C268,Cat_Nombre,0)),"⚠ Categoría inválida","OK")))</f>
        <v/>
      </c>
      <c r="G268" s="16">
        <f>IF($F268&lt;&gt;"OK","",IF(UPPER(TRIM($D268))="NO",INDEX(Cat_HMax,MATCH($C268,Cat_Nombre,0)),INDEX(Cat_HMin,MATCH($C268,Cat_Nombre,0))))</f>
        <v/>
      </c>
      <c r="H268" s="16">
        <f>IF($F268&lt;&gt;"OK","",INDEX(Cat_HMax,MATCH($C268,Cat_Nombre,0)))</f>
        <v/>
      </c>
      <c r="I268" s="16">
        <f>IF($F268&lt;&gt;"OK","",(G268+H268)/2)</f>
        <v/>
      </c>
      <c r="J268" s="16">
        <f>IF($F268&lt;&gt;"OK","",G268/HorasDia)</f>
        <v/>
      </c>
      <c r="K268" s="16">
        <f>IF($F268&lt;&gt;"OK","",I268/HorasDia)</f>
        <v/>
      </c>
      <c r="L268" s="16">
        <f>IF($F268&lt;&gt;"OK","",H268/HorasDia)</f>
        <v/>
      </c>
      <c r="M268" s="17">
        <f>IF($F268&lt;&gt;"OK","",IF(UPPER(TRIM($D268))="NO",INDEX(Cat_TMax,MATCH($C268,Cat_Nombre,0)),INDEX(Cat_TMin,MATCH($C268,Cat_Nombre,0))))</f>
        <v/>
      </c>
      <c r="N268" s="17">
        <f>IF($F268&lt;&gt;"OK","",INDEX(Cat_TMax,MATCH($C268,Cat_Nombre,0)))</f>
        <v/>
      </c>
      <c r="O268" s="18">
        <f>IF($F268&lt;&gt;"OK","",INDEX(Cat_POpus,MATCH($C268,Cat_Nombre,0)))</f>
        <v/>
      </c>
      <c r="P268" s="19">
        <f>IF($F268&lt;&gt;"OK","",M268/1000000*((1-O268)*UsdM_Sonnet+O268*UsdM_Opus))</f>
        <v/>
      </c>
      <c r="Q268" s="19">
        <f>IF($F268&lt;&gt;"OK","",N268/1000000*((1-O268)*UsdM_Sonnet+O268*UsdM_Opus))</f>
        <v/>
      </c>
      <c r="R268" s="19">
        <f>IF($F268&lt;&gt;"OK","",G268*TarifaHora)</f>
        <v/>
      </c>
      <c r="S268" s="19">
        <f>IF($F268&lt;&gt;"OK","",H268*TarifaHora)</f>
        <v/>
      </c>
      <c r="T268" s="10">
        <f>IF($F268&lt;&gt;"OK","",IF(COUNTIFS($A$2:$A268,$A268,$F$2:$F268,"OK")=1,MAX($T$1:$T267)+1,""))</f>
        <v/>
      </c>
    </row>
    <row r="269">
      <c r="A269" s="11" t="n"/>
      <c r="B269" s="11" t="n"/>
      <c r="C269" s="11" t="n"/>
      <c r="D269" s="11" t="n"/>
      <c r="E269" s="11" t="n"/>
      <c r="F269" s="10">
        <f>IF(AND($A269="",$B269="",$C269=""),"",IF($A269="","⚠ Falta hito",IF(ISNA(MATCH($C269,Cat_Nombre,0)),"⚠ Categoría inválida","OK")))</f>
        <v/>
      </c>
      <c r="G269" s="16">
        <f>IF($F269&lt;&gt;"OK","",IF(UPPER(TRIM($D269))="NO",INDEX(Cat_HMax,MATCH($C269,Cat_Nombre,0)),INDEX(Cat_HMin,MATCH($C269,Cat_Nombre,0))))</f>
        <v/>
      </c>
      <c r="H269" s="16">
        <f>IF($F269&lt;&gt;"OK","",INDEX(Cat_HMax,MATCH($C269,Cat_Nombre,0)))</f>
        <v/>
      </c>
      <c r="I269" s="16">
        <f>IF($F269&lt;&gt;"OK","",(G269+H269)/2)</f>
        <v/>
      </c>
      <c r="J269" s="16">
        <f>IF($F269&lt;&gt;"OK","",G269/HorasDia)</f>
        <v/>
      </c>
      <c r="K269" s="16">
        <f>IF($F269&lt;&gt;"OK","",I269/HorasDia)</f>
        <v/>
      </c>
      <c r="L269" s="16">
        <f>IF($F269&lt;&gt;"OK","",H269/HorasDia)</f>
        <v/>
      </c>
      <c r="M269" s="17">
        <f>IF($F269&lt;&gt;"OK","",IF(UPPER(TRIM($D269))="NO",INDEX(Cat_TMax,MATCH($C269,Cat_Nombre,0)),INDEX(Cat_TMin,MATCH($C269,Cat_Nombre,0))))</f>
        <v/>
      </c>
      <c r="N269" s="17">
        <f>IF($F269&lt;&gt;"OK","",INDEX(Cat_TMax,MATCH($C269,Cat_Nombre,0)))</f>
        <v/>
      </c>
      <c r="O269" s="18">
        <f>IF($F269&lt;&gt;"OK","",INDEX(Cat_POpus,MATCH($C269,Cat_Nombre,0)))</f>
        <v/>
      </c>
      <c r="P269" s="19">
        <f>IF($F269&lt;&gt;"OK","",M269/1000000*((1-O269)*UsdM_Sonnet+O269*UsdM_Opus))</f>
        <v/>
      </c>
      <c r="Q269" s="19">
        <f>IF($F269&lt;&gt;"OK","",N269/1000000*((1-O269)*UsdM_Sonnet+O269*UsdM_Opus))</f>
        <v/>
      </c>
      <c r="R269" s="19">
        <f>IF($F269&lt;&gt;"OK","",G269*TarifaHora)</f>
        <v/>
      </c>
      <c r="S269" s="19">
        <f>IF($F269&lt;&gt;"OK","",H269*TarifaHora)</f>
        <v/>
      </c>
      <c r="T269" s="10">
        <f>IF($F269&lt;&gt;"OK","",IF(COUNTIFS($A$2:$A269,$A269,$F$2:$F269,"OK")=1,MAX($T$1:$T268)+1,""))</f>
        <v/>
      </c>
    </row>
    <row r="270">
      <c r="A270" s="11" t="n"/>
      <c r="B270" s="11" t="n"/>
      <c r="C270" s="11" t="n"/>
      <c r="D270" s="11" t="n"/>
      <c r="E270" s="11" t="n"/>
      <c r="F270" s="10">
        <f>IF(AND($A270="",$B270="",$C270=""),"",IF($A270="","⚠ Falta hito",IF(ISNA(MATCH($C270,Cat_Nombre,0)),"⚠ Categoría inválida","OK")))</f>
        <v/>
      </c>
      <c r="G270" s="16">
        <f>IF($F270&lt;&gt;"OK","",IF(UPPER(TRIM($D270))="NO",INDEX(Cat_HMax,MATCH($C270,Cat_Nombre,0)),INDEX(Cat_HMin,MATCH($C270,Cat_Nombre,0))))</f>
        <v/>
      </c>
      <c r="H270" s="16">
        <f>IF($F270&lt;&gt;"OK","",INDEX(Cat_HMax,MATCH($C270,Cat_Nombre,0)))</f>
        <v/>
      </c>
      <c r="I270" s="16">
        <f>IF($F270&lt;&gt;"OK","",(G270+H270)/2)</f>
        <v/>
      </c>
      <c r="J270" s="16">
        <f>IF($F270&lt;&gt;"OK","",G270/HorasDia)</f>
        <v/>
      </c>
      <c r="K270" s="16">
        <f>IF($F270&lt;&gt;"OK","",I270/HorasDia)</f>
        <v/>
      </c>
      <c r="L270" s="16">
        <f>IF($F270&lt;&gt;"OK","",H270/HorasDia)</f>
        <v/>
      </c>
      <c r="M270" s="17">
        <f>IF($F270&lt;&gt;"OK","",IF(UPPER(TRIM($D270))="NO",INDEX(Cat_TMax,MATCH($C270,Cat_Nombre,0)),INDEX(Cat_TMin,MATCH($C270,Cat_Nombre,0))))</f>
        <v/>
      </c>
      <c r="N270" s="17">
        <f>IF($F270&lt;&gt;"OK","",INDEX(Cat_TMax,MATCH($C270,Cat_Nombre,0)))</f>
        <v/>
      </c>
      <c r="O270" s="18">
        <f>IF($F270&lt;&gt;"OK","",INDEX(Cat_POpus,MATCH($C270,Cat_Nombre,0)))</f>
        <v/>
      </c>
      <c r="P270" s="19">
        <f>IF($F270&lt;&gt;"OK","",M270/1000000*((1-O270)*UsdM_Sonnet+O270*UsdM_Opus))</f>
        <v/>
      </c>
      <c r="Q270" s="19">
        <f>IF($F270&lt;&gt;"OK","",N270/1000000*((1-O270)*UsdM_Sonnet+O270*UsdM_Opus))</f>
        <v/>
      </c>
      <c r="R270" s="19">
        <f>IF($F270&lt;&gt;"OK","",G270*TarifaHora)</f>
        <v/>
      </c>
      <c r="S270" s="19">
        <f>IF($F270&lt;&gt;"OK","",H270*TarifaHora)</f>
        <v/>
      </c>
      <c r="T270" s="10">
        <f>IF($F270&lt;&gt;"OK","",IF(COUNTIFS($A$2:$A270,$A270,$F$2:$F270,"OK")=1,MAX($T$1:$T269)+1,""))</f>
        <v/>
      </c>
    </row>
    <row r="271">
      <c r="A271" s="11" t="n"/>
      <c r="B271" s="11" t="n"/>
      <c r="C271" s="11" t="n"/>
      <c r="D271" s="11" t="n"/>
      <c r="E271" s="11" t="n"/>
      <c r="F271" s="10">
        <f>IF(AND($A271="",$B271="",$C271=""),"",IF($A271="","⚠ Falta hito",IF(ISNA(MATCH($C271,Cat_Nombre,0)),"⚠ Categoría inválida","OK")))</f>
        <v/>
      </c>
      <c r="G271" s="16">
        <f>IF($F271&lt;&gt;"OK","",IF(UPPER(TRIM($D271))="NO",INDEX(Cat_HMax,MATCH($C271,Cat_Nombre,0)),INDEX(Cat_HMin,MATCH($C271,Cat_Nombre,0))))</f>
        <v/>
      </c>
      <c r="H271" s="16">
        <f>IF($F271&lt;&gt;"OK","",INDEX(Cat_HMax,MATCH($C271,Cat_Nombre,0)))</f>
        <v/>
      </c>
      <c r="I271" s="16">
        <f>IF($F271&lt;&gt;"OK","",(G271+H271)/2)</f>
        <v/>
      </c>
      <c r="J271" s="16">
        <f>IF($F271&lt;&gt;"OK","",G271/HorasDia)</f>
        <v/>
      </c>
      <c r="K271" s="16">
        <f>IF($F271&lt;&gt;"OK","",I271/HorasDia)</f>
        <v/>
      </c>
      <c r="L271" s="16">
        <f>IF($F271&lt;&gt;"OK","",H271/HorasDia)</f>
        <v/>
      </c>
      <c r="M271" s="17">
        <f>IF($F271&lt;&gt;"OK","",IF(UPPER(TRIM($D271))="NO",INDEX(Cat_TMax,MATCH($C271,Cat_Nombre,0)),INDEX(Cat_TMin,MATCH($C271,Cat_Nombre,0))))</f>
        <v/>
      </c>
      <c r="N271" s="17">
        <f>IF($F271&lt;&gt;"OK","",INDEX(Cat_TMax,MATCH($C271,Cat_Nombre,0)))</f>
        <v/>
      </c>
      <c r="O271" s="18">
        <f>IF($F271&lt;&gt;"OK","",INDEX(Cat_POpus,MATCH($C271,Cat_Nombre,0)))</f>
        <v/>
      </c>
      <c r="P271" s="19">
        <f>IF($F271&lt;&gt;"OK","",M271/1000000*((1-O271)*UsdM_Sonnet+O271*UsdM_Opus))</f>
        <v/>
      </c>
      <c r="Q271" s="19">
        <f>IF($F271&lt;&gt;"OK","",N271/1000000*((1-O271)*UsdM_Sonnet+O271*UsdM_Opus))</f>
        <v/>
      </c>
      <c r="R271" s="19">
        <f>IF($F271&lt;&gt;"OK","",G271*TarifaHora)</f>
        <v/>
      </c>
      <c r="S271" s="19">
        <f>IF($F271&lt;&gt;"OK","",H271*TarifaHora)</f>
        <v/>
      </c>
      <c r="T271" s="10">
        <f>IF($F271&lt;&gt;"OK","",IF(COUNTIFS($A$2:$A271,$A271,$F$2:$F271,"OK")=1,MAX($T$1:$T270)+1,""))</f>
        <v/>
      </c>
    </row>
    <row r="272">
      <c r="A272" s="11" t="n"/>
      <c r="B272" s="11" t="n"/>
      <c r="C272" s="11" t="n"/>
      <c r="D272" s="11" t="n"/>
      <c r="E272" s="11" t="n"/>
      <c r="F272" s="10">
        <f>IF(AND($A272="",$B272="",$C272=""),"",IF($A272="","⚠ Falta hito",IF(ISNA(MATCH($C272,Cat_Nombre,0)),"⚠ Categoría inválida","OK")))</f>
        <v/>
      </c>
      <c r="G272" s="16">
        <f>IF($F272&lt;&gt;"OK","",IF(UPPER(TRIM($D272))="NO",INDEX(Cat_HMax,MATCH($C272,Cat_Nombre,0)),INDEX(Cat_HMin,MATCH($C272,Cat_Nombre,0))))</f>
        <v/>
      </c>
      <c r="H272" s="16">
        <f>IF($F272&lt;&gt;"OK","",INDEX(Cat_HMax,MATCH($C272,Cat_Nombre,0)))</f>
        <v/>
      </c>
      <c r="I272" s="16">
        <f>IF($F272&lt;&gt;"OK","",(G272+H272)/2)</f>
        <v/>
      </c>
      <c r="J272" s="16">
        <f>IF($F272&lt;&gt;"OK","",G272/HorasDia)</f>
        <v/>
      </c>
      <c r="K272" s="16">
        <f>IF($F272&lt;&gt;"OK","",I272/HorasDia)</f>
        <v/>
      </c>
      <c r="L272" s="16">
        <f>IF($F272&lt;&gt;"OK","",H272/HorasDia)</f>
        <v/>
      </c>
      <c r="M272" s="17">
        <f>IF($F272&lt;&gt;"OK","",IF(UPPER(TRIM($D272))="NO",INDEX(Cat_TMax,MATCH($C272,Cat_Nombre,0)),INDEX(Cat_TMin,MATCH($C272,Cat_Nombre,0))))</f>
        <v/>
      </c>
      <c r="N272" s="17">
        <f>IF($F272&lt;&gt;"OK","",INDEX(Cat_TMax,MATCH($C272,Cat_Nombre,0)))</f>
        <v/>
      </c>
      <c r="O272" s="18">
        <f>IF($F272&lt;&gt;"OK","",INDEX(Cat_POpus,MATCH($C272,Cat_Nombre,0)))</f>
        <v/>
      </c>
      <c r="P272" s="19">
        <f>IF($F272&lt;&gt;"OK","",M272/1000000*((1-O272)*UsdM_Sonnet+O272*UsdM_Opus))</f>
        <v/>
      </c>
      <c r="Q272" s="19">
        <f>IF($F272&lt;&gt;"OK","",N272/1000000*((1-O272)*UsdM_Sonnet+O272*UsdM_Opus))</f>
        <v/>
      </c>
      <c r="R272" s="19">
        <f>IF($F272&lt;&gt;"OK","",G272*TarifaHora)</f>
        <v/>
      </c>
      <c r="S272" s="19">
        <f>IF($F272&lt;&gt;"OK","",H272*TarifaHora)</f>
        <v/>
      </c>
      <c r="T272" s="10">
        <f>IF($F272&lt;&gt;"OK","",IF(COUNTIFS($A$2:$A272,$A272,$F$2:$F272,"OK")=1,MAX($T$1:$T271)+1,""))</f>
        <v/>
      </c>
    </row>
    <row r="273">
      <c r="A273" s="11" t="n"/>
      <c r="B273" s="11" t="n"/>
      <c r="C273" s="11" t="n"/>
      <c r="D273" s="11" t="n"/>
      <c r="E273" s="11" t="n"/>
      <c r="F273" s="10">
        <f>IF(AND($A273="",$B273="",$C273=""),"",IF($A273="","⚠ Falta hito",IF(ISNA(MATCH($C273,Cat_Nombre,0)),"⚠ Categoría inválida","OK")))</f>
        <v/>
      </c>
      <c r="G273" s="16">
        <f>IF($F273&lt;&gt;"OK","",IF(UPPER(TRIM($D273))="NO",INDEX(Cat_HMax,MATCH($C273,Cat_Nombre,0)),INDEX(Cat_HMin,MATCH($C273,Cat_Nombre,0))))</f>
        <v/>
      </c>
      <c r="H273" s="16">
        <f>IF($F273&lt;&gt;"OK","",INDEX(Cat_HMax,MATCH($C273,Cat_Nombre,0)))</f>
        <v/>
      </c>
      <c r="I273" s="16">
        <f>IF($F273&lt;&gt;"OK","",(G273+H273)/2)</f>
        <v/>
      </c>
      <c r="J273" s="16">
        <f>IF($F273&lt;&gt;"OK","",G273/HorasDia)</f>
        <v/>
      </c>
      <c r="K273" s="16">
        <f>IF($F273&lt;&gt;"OK","",I273/HorasDia)</f>
        <v/>
      </c>
      <c r="L273" s="16">
        <f>IF($F273&lt;&gt;"OK","",H273/HorasDia)</f>
        <v/>
      </c>
      <c r="M273" s="17">
        <f>IF($F273&lt;&gt;"OK","",IF(UPPER(TRIM($D273))="NO",INDEX(Cat_TMax,MATCH($C273,Cat_Nombre,0)),INDEX(Cat_TMin,MATCH($C273,Cat_Nombre,0))))</f>
        <v/>
      </c>
      <c r="N273" s="17">
        <f>IF($F273&lt;&gt;"OK","",INDEX(Cat_TMax,MATCH($C273,Cat_Nombre,0)))</f>
        <v/>
      </c>
      <c r="O273" s="18">
        <f>IF($F273&lt;&gt;"OK","",INDEX(Cat_POpus,MATCH($C273,Cat_Nombre,0)))</f>
        <v/>
      </c>
      <c r="P273" s="19">
        <f>IF($F273&lt;&gt;"OK","",M273/1000000*((1-O273)*UsdM_Sonnet+O273*UsdM_Opus))</f>
        <v/>
      </c>
      <c r="Q273" s="19">
        <f>IF($F273&lt;&gt;"OK","",N273/1000000*((1-O273)*UsdM_Sonnet+O273*UsdM_Opus))</f>
        <v/>
      </c>
      <c r="R273" s="19">
        <f>IF($F273&lt;&gt;"OK","",G273*TarifaHora)</f>
        <v/>
      </c>
      <c r="S273" s="19">
        <f>IF($F273&lt;&gt;"OK","",H273*TarifaHora)</f>
        <v/>
      </c>
      <c r="T273" s="10">
        <f>IF($F273&lt;&gt;"OK","",IF(COUNTIFS($A$2:$A273,$A273,$F$2:$F273,"OK")=1,MAX($T$1:$T272)+1,""))</f>
        <v/>
      </c>
    </row>
    <row r="274">
      <c r="A274" s="11" t="n"/>
      <c r="B274" s="11" t="n"/>
      <c r="C274" s="11" t="n"/>
      <c r="D274" s="11" t="n"/>
      <c r="E274" s="11" t="n"/>
      <c r="F274" s="10">
        <f>IF(AND($A274="",$B274="",$C274=""),"",IF($A274="","⚠ Falta hito",IF(ISNA(MATCH($C274,Cat_Nombre,0)),"⚠ Categoría inválida","OK")))</f>
        <v/>
      </c>
      <c r="G274" s="16">
        <f>IF($F274&lt;&gt;"OK","",IF(UPPER(TRIM($D274))="NO",INDEX(Cat_HMax,MATCH($C274,Cat_Nombre,0)),INDEX(Cat_HMin,MATCH($C274,Cat_Nombre,0))))</f>
        <v/>
      </c>
      <c r="H274" s="16">
        <f>IF($F274&lt;&gt;"OK","",INDEX(Cat_HMax,MATCH($C274,Cat_Nombre,0)))</f>
        <v/>
      </c>
      <c r="I274" s="16">
        <f>IF($F274&lt;&gt;"OK","",(G274+H274)/2)</f>
        <v/>
      </c>
      <c r="J274" s="16">
        <f>IF($F274&lt;&gt;"OK","",G274/HorasDia)</f>
        <v/>
      </c>
      <c r="K274" s="16">
        <f>IF($F274&lt;&gt;"OK","",I274/HorasDia)</f>
        <v/>
      </c>
      <c r="L274" s="16">
        <f>IF($F274&lt;&gt;"OK","",H274/HorasDia)</f>
        <v/>
      </c>
      <c r="M274" s="17">
        <f>IF($F274&lt;&gt;"OK","",IF(UPPER(TRIM($D274))="NO",INDEX(Cat_TMax,MATCH($C274,Cat_Nombre,0)),INDEX(Cat_TMin,MATCH($C274,Cat_Nombre,0))))</f>
        <v/>
      </c>
      <c r="N274" s="17">
        <f>IF($F274&lt;&gt;"OK","",INDEX(Cat_TMax,MATCH($C274,Cat_Nombre,0)))</f>
        <v/>
      </c>
      <c r="O274" s="18">
        <f>IF($F274&lt;&gt;"OK","",INDEX(Cat_POpus,MATCH($C274,Cat_Nombre,0)))</f>
        <v/>
      </c>
      <c r="P274" s="19">
        <f>IF($F274&lt;&gt;"OK","",M274/1000000*((1-O274)*UsdM_Sonnet+O274*UsdM_Opus))</f>
        <v/>
      </c>
      <c r="Q274" s="19">
        <f>IF($F274&lt;&gt;"OK","",N274/1000000*((1-O274)*UsdM_Sonnet+O274*UsdM_Opus))</f>
        <v/>
      </c>
      <c r="R274" s="19">
        <f>IF($F274&lt;&gt;"OK","",G274*TarifaHora)</f>
        <v/>
      </c>
      <c r="S274" s="19">
        <f>IF($F274&lt;&gt;"OK","",H274*TarifaHora)</f>
        <v/>
      </c>
      <c r="T274" s="10">
        <f>IF($F274&lt;&gt;"OK","",IF(COUNTIFS($A$2:$A274,$A274,$F$2:$F274,"OK")=1,MAX($T$1:$T273)+1,""))</f>
        <v/>
      </c>
    </row>
    <row r="275">
      <c r="A275" s="11" t="n"/>
      <c r="B275" s="11" t="n"/>
      <c r="C275" s="11" t="n"/>
      <c r="D275" s="11" t="n"/>
      <c r="E275" s="11" t="n"/>
      <c r="F275" s="10">
        <f>IF(AND($A275="",$B275="",$C275=""),"",IF($A275="","⚠ Falta hito",IF(ISNA(MATCH($C275,Cat_Nombre,0)),"⚠ Categoría inválida","OK")))</f>
        <v/>
      </c>
      <c r="G275" s="16">
        <f>IF($F275&lt;&gt;"OK","",IF(UPPER(TRIM($D275))="NO",INDEX(Cat_HMax,MATCH($C275,Cat_Nombre,0)),INDEX(Cat_HMin,MATCH($C275,Cat_Nombre,0))))</f>
        <v/>
      </c>
      <c r="H275" s="16">
        <f>IF($F275&lt;&gt;"OK","",INDEX(Cat_HMax,MATCH($C275,Cat_Nombre,0)))</f>
        <v/>
      </c>
      <c r="I275" s="16">
        <f>IF($F275&lt;&gt;"OK","",(G275+H275)/2)</f>
        <v/>
      </c>
      <c r="J275" s="16">
        <f>IF($F275&lt;&gt;"OK","",G275/HorasDia)</f>
        <v/>
      </c>
      <c r="K275" s="16">
        <f>IF($F275&lt;&gt;"OK","",I275/HorasDia)</f>
        <v/>
      </c>
      <c r="L275" s="16">
        <f>IF($F275&lt;&gt;"OK","",H275/HorasDia)</f>
        <v/>
      </c>
      <c r="M275" s="17">
        <f>IF($F275&lt;&gt;"OK","",IF(UPPER(TRIM($D275))="NO",INDEX(Cat_TMax,MATCH($C275,Cat_Nombre,0)),INDEX(Cat_TMin,MATCH($C275,Cat_Nombre,0))))</f>
        <v/>
      </c>
      <c r="N275" s="17">
        <f>IF($F275&lt;&gt;"OK","",INDEX(Cat_TMax,MATCH($C275,Cat_Nombre,0)))</f>
        <v/>
      </c>
      <c r="O275" s="18">
        <f>IF($F275&lt;&gt;"OK","",INDEX(Cat_POpus,MATCH($C275,Cat_Nombre,0)))</f>
        <v/>
      </c>
      <c r="P275" s="19">
        <f>IF($F275&lt;&gt;"OK","",M275/1000000*((1-O275)*UsdM_Sonnet+O275*UsdM_Opus))</f>
        <v/>
      </c>
      <c r="Q275" s="19">
        <f>IF($F275&lt;&gt;"OK","",N275/1000000*((1-O275)*UsdM_Sonnet+O275*UsdM_Opus))</f>
        <v/>
      </c>
      <c r="R275" s="19">
        <f>IF($F275&lt;&gt;"OK","",G275*TarifaHora)</f>
        <v/>
      </c>
      <c r="S275" s="19">
        <f>IF($F275&lt;&gt;"OK","",H275*TarifaHora)</f>
        <v/>
      </c>
      <c r="T275" s="10">
        <f>IF($F275&lt;&gt;"OK","",IF(COUNTIFS($A$2:$A275,$A275,$F$2:$F275,"OK")=1,MAX($T$1:$T274)+1,""))</f>
        <v/>
      </c>
    </row>
    <row r="276">
      <c r="A276" s="11" t="n"/>
      <c r="B276" s="11" t="n"/>
      <c r="C276" s="11" t="n"/>
      <c r="D276" s="11" t="n"/>
      <c r="E276" s="11" t="n"/>
      <c r="F276" s="10">
        <f>IF(AND($A276="",$B276="",$C276=""),"",IF($A276="","⚠ Falta hito",IF(ISNA(MATCH($C276,Cat_Nombre,0)),"⚠ Categoría inválida","OK")))</f>
        <v/>
      </c>
      <c r="G276" s="16">
        <f>IF($F276&lt;&gt;"OK","",IF(UPPER(TRIM($D276))="NO",INDEX(Cat_HMax,MATCH($C276,Cat_Nombre,0)),INDEX(Cat_HMin,MATCH($C276,Cat_Nombre,0))))</f>
        <v/>
      </c>
      <c r="H276" s="16">
        <f>IF($F276&lt;&gt;"OK","",INDEX(Cat_HMax,MATCH($C276,Cat_Nombre,0)))</f>
        <v/>
      </c>
      <c r="I276" s="16">
        <f>IF($F276&lt;&gt;"OK","",(G276+H276)/2)</f>
        <v/>
      </c>
      <c r="J276" s="16">
        <f>IF($F276&lt;&gt;"OK","",G276/HorasDia)</f>
        <v/>
      </c>
      <c r="K276" s="16">
        <f>IF($F276&lt;&gt;"OK","",I276/HorasDia)</f>
        <v/>
      </c>
      <c r="L276" s="16">
        <f>IF($F276&lt;&gt;"OK","",H276/HorasDia)</f>
        <v/>
      </c>
      <c r="M276" s="17">
        <f>IF($F276&lt;&gt;"OK","",IF(UPPER(TRIM($D276))="NO",INDEX(Cat_TMax,MATCH($C276,Cat_Nombre,0)),INDEX(Cat_TMin,MATCH($C276,Cat_Nombre,0))))</f>
        <v/>
      </c>
      <c r="N276" s="17">
        <f>IF($F276&lt;&gt;"OK","",INDEX(Cat_TMax,MATCH($C276,Cat_Nombre,0)))</f>
        <v/>
      </c>
      <c r="O276" s="18">
        <f>IF($F276&lt;&gt;"OK","",INDEX(Cat_POpus,MATCH($C276,Cat_Nombre,0)))</f>
        <v/>
      </c>
      <c r="P276" s="19">
        <f>IF($F276&lt;&gt;"OK","",M276/1000000*((1-O276)*UsdM_Sonnet+O276*UsdM_Opus))</f>
        <v/>
      </c>
      <c r="Q276" s="19">
        <f>IF($F276&lt;&gt;"OK","",N276/1000000*((1-O276)*UsdM_Sonnet+O276*UsdM_Opus))</f>
        <v/>
      </c>
      <c r="R276" s="19">
        <f>IF($F276&lt;&gt;"OK","",G276*TarifaHora)</f>
        <v/>
      </c>
      <c r="S276" s="19">
        <f>IF($F276&lt;&gt;"OK","",H276*TarifaHora)</f>
        <v/>
      </c>
      <c r="T276" s="10">
        <f>IF($F276&lt;&gt;"OK","",IF(COUNTIFS($A$2:$A276,$A276,$F$2:$F276,"OK")=1,MAX($T$1:$T275)+1,""))</f>
        <v/>
      </c>
    </row>
    <row r="277">
      <c r="A277" s="11" t="n"/>
      <c r="B277" s="11" t="n"/>
      <c r="C277" s="11" t="n"/>
      <c r="D277" s="11" t="n"/>
      <c r="E277" s="11" t="n"/>
      <c r="F277" s="10">
        <f>IF(AND($A277="",$B277="",$C277=""),"",IF($A277="","⚠ Falta hito",IF(ISNA(MATCH($C277,Cat_Nombre,0)),"⚠ Categoría inválida","OK")))</f>
        <v/>
      </c>
      <c r="G277" s="16">
        <f>IF($F277&lt;&gt;"OK","",IF(UPPER(TRIM($D277))="NO",INDEX(Cat_HMax,MATCH($C277,Cat_Nombre,0)),INDEX(Cat_HMin,MATCH($C277,Cat_Nombre,0))))</f>
        <v/>
      </c>
      <c r="H277" s="16">
        <f>IF($F277&lt;&gt;"OK","",INDEX(Cat_HMax,MATCH($C277,Cat_Nombre,0)))</f>
        <v/>
      </c>
      <c r="I277" s="16">
        <f>IF($F277&lt;&gt;"OK","",(G277+H277)/2)</f>
        <v/>
      </c>
      <c r="J277" s="16">
        <f>IF($F277&lt;&gt;"OK","",G277/HorasDia)</f>
        <v/>
      </c>
      <c r="K277" s="16">
        <f>IF($F277&lt;&gt;"OK","",I277/HorasDia)</f>
        <v/>
      </c>
      <c r="L277" s="16">
        <f>IF($F277&lt;&gt;"OK","",H277/HorasDia)</f>
        <v/>
      </c>
      <c r="M277" s="17">
        <f>IF($F277&lt;&gt;"OK","",IF(UPPER(TRIM($D277))="NO",INDEX(Cat_TMax,MATCH($C277,Cat_Nombre,0)),INDEX(Cat_TMin,MATCH($C277,Cat_Nombre,0))))</f>
        <v/>
      </c>
      <c r="N277" s="17">
        <f>IF($F277&lt;&gt;"OK","",INDEX(Cat_TMax,MATCH($C277,Cat_Nombre,0)))</f>
        <v/>
      </c>
      <c r="O277" s="18">
        <f>IF($F277&lt;&gt;"OK","",INDEX(Cat_POpus,MATCH($C277,Cat_Nombre,0)))</f>
        <v/>
      </c>
      <c r="P277" s="19">
        <f>IF($F277&lt;&gt;"OK","",M277/1000000*((1-O277)*UsdM_Sonnet+O277*UsdM_Opus))</f>
        <v/>
      </c>
      <c r="Q277" s="19">
        <f>IF($F277&lt;&gt;"OK","",N277/1000000*((1-O277)*UsdM_Sonnet+O277*UsdM_Opus))</f>
        <v/>
      </c>
      <c r="R277" s="19">
        <f>IF($F277&lt;&gt;"OK","",G277*TarifaHora)</f>
        <v/>
      </c>
      <c r="S277" s="19">
        <f>IF($F277&lt;&gt;"OK","",H277*TarifaHora)</f>
        <v/>
      </c>
      <c r="T277" s="10">
        <f>IF($F277&lt;&gt;"OK","",IF(COUNTIFS($A$2:$A277,$A277,$F$2:$F277,"OK")=1,MAX($T$1:$T276)+1,""))</f>
        <v/>
      </c>
    </row>
    <row r="278">
      <c r="A278" s="11" t="n"/>
      <c r="B278" s="11" t="n"/>
      <c r="C278" s="11" t="n"/>
      <c r="D278" s="11" t="n"/>
      <c r="E278" s="11" t="n"/>
      <c r="F278" s="10">
        <f>IF(AND($A278="",$B278="",$C278=""),"",IF($A278="","⚠ Falta hito",IF(ISNA(MATCH($C278,Cat_Nombre,0)),"⚠ Categoría inválida","OK")))</f>
        <v/>
      </c>
      <c r="G278" s="16">
        <f>IF($F278&lt;&gt;"OK","",IF(UPPER(TRIM($D278))="NO",INDEX(Cat_HMax,MATCH($C278,Cat_Nombre,0)),INDEX(Cat_HMin,MATCH($C278,Cat_Nombre,0))))</f>
        <v/>
      </c>
      <c r="H278" s="16">
        <f>IF($F278&lt;&gt;"OK","",INDEX(Cat_HMax,MATCH($C278,Cat_Nombre,0)))</f>
        <v/>
      </c>
      <c r="I278" s="16">
        <f>IF($F278&lt;&gt;"OK","",(G278+H278)/2)</f>
        <v/>
      </c>
      <c r="J278" s="16">
        <f>IF($F278&lt;&gt;"OK","",G278/HorasDia)</f>
        <v/>
      </c>
      <c r="K278" s="16">
        <f>IF($F278&lt;&gt;"OK","",I278/HorasDia)</f>
        <v/>
      </c>
      <c r="L278" s="16">
        <f>IF($F278&lt;&gt;"OK","",H278/HorasDia)</f>
        <v/>
      </c>
      <c r="M278" s="17">
        <f>IF($F278&lt;&gt;"OK","",IF(UPPER(TRIM($D278))="NO",INDEX(Cat_TMax,MATCH($C278,Cat_Nombre,0)),INDEX(Cat_TMin,MATCH($C278,Cat_Nombre,0))))</f>
        <v/>
      </c>
      <c r="N278" s="17">
        <f>IF($F278&lt;&gt;"OK","",INDEX(Cat_TMax,MATCH($C278,Cat_Nombre,0)))</f>
        <v/>
      </c>
      <c r="O278" s="18">
        <f>IF($F278&lt;&gt;"OK","",INDEX(Cat_POpus,MATCH($C278,Cat_Nombre,0)))</f>
        <v/>
      </c>
      <c r="P278" s="19">
        <f>IF($F278&lt;&gt;"OK","",M278/1000000*((1-O278)*UsdM_Sonnet+O278*UsdM_Opus))</f>
        <v/>
      </c>
      <c r="Q278" s="19">
        <f>IF($F278&lt;&gt;"OK","",N278/1000000*((1-O278)*UsdM_Sonnet+O278*UsdM_Opus))</f>
        <v/>
      </c>
      <c r="R278" s="19">
        <f>IF($F278&lt;&gt;"OK","",G278*TarifaHora)</f>
        <v/>
      </c>
      <c r="S278" s="19">
        <f>IF($F278&lt;&gt;"OK","",H278*TarifaHora)</f>
        <v/>
      </c>
      <c r="T278" s="10">
        <f>IF($F278&lt;&gt;"OK","",IF(COUNTIFS($A$2:$A278,$A278,$F$2:$F278,"OK")=1,MAX($T$1:$T277)+1,""))</f>
        <v/>
      </c>
    </row>
    <row r="279">
      <c r="A279" s="11" t="n"/>
      <c r="B279" s="11" t="n"/>
      <c r="C279" s="11" t="n"/>
      <c r="D279" s="11" t="n"/>
      <c r="E279" s="11" t="n"/>
      <c r="F279" s="10">
        <f>IF(AND($A279="",$B279="",$C279=""),"",IF($A279="","⚠ Falta hito",IF(ISNA(MATCH($C279,Cat_Nombre,0)),"⚠ Categoría inválida","OK")))</f>
        <v/>
      </c>
      <c r="G279" s="16">
        <f>IF($F279&lt;&gt;"OK","",IF(UPPER(TRIM($D279))="NO",INDEX(Cat_HMax,MATCH($C279,Cat_Nombre,0)),INDEX(Cat_HMin,MATCH($C279,Cat_Nombre,0))))</f>
        <v/>
      </c>
      <c r="H279" s="16">
        <f>IF($F279&lt;&gt;"OK","",INDEX(Cat_HMax,MATCH($C279,Cat_Nombre,0)))</f>
        <v/>
      </c>
      <c r="I279" s="16">
        <f>IF($F279&lt;&gt;"OK","",(G279+H279)/2)</f>
        <v/>
      </c>
      <c r="J279" s="16">
        <f>IF($F279&lt;&gt;"OK","",G279/HorasDia)</f>
        <v/>
      </c>
      <c r="K279" s="16">
        <f>IF($F279&lt;&gt;"OK","",I279/HorasDia)</f>
        <v/>
      </c>
      <c r="L279" s="16">
        <f>IF($F279&lt;&gt;"OK","",H279/HorasDia)</f>
        <v/>
      </c>
      <c r="M279" s="17">
        <f>IF($F279&lt;&gt;"OK","",IF(UPPER(TRIM($D279))="NO",INDEX(Cat_TMax,MATCH($C279,Cat_Nombre,0)),INDEX(Cat_TMin,MATCH($C279,Cat_Nombre,0))))</f>
        <v/>
      </c>
      <c r="N279" s="17">
        <f>IF($F279&lt;&gt;"OK","",INDEX(Cat_TMax,MATCH($C279,Cat_Nombre,0)))</f>
        <v/>
      </c>
      <c r="O279" s="18">
        <f>IF($F279&lt;&gt;"OK","",INDEX(Cat_POpus,MATCH($C279,Cat_Nombre,0)))</f>
        <v/>
      </c>
      <c r="P279" s="19">
        <f>IF($F279&lt;&gt;"OK","",M279/1000000*((1-O279)*UsdM_Sonnet+O279*UsdM_Opus))</f>
        <v/>
      </c>
      <c r="Q279" s="19">
        <f>IF($F279&lt;&gt;"OK","",N279/1000000*((1-O279)*UsdM_Sonnet+O279*UsdM_Opus))</f>
        <v/>
      </c>
      <c r="R279" s="19">
        <f>IF($F279&lt;&gt;"OK","",G279*TarifaHora)</f>
        <v/>
      </c>
      <c r="S279" s="19">
        <f>IF($F279&lt;&gt;"OK","",H279*TarifaHora)</f>
        <v/>
      </c>
      <c r="T279" s="10">
        <f>IF($F279&lt;&gt;"OK","",IF(COUNTIFS($A$2:$A279,$A279,$F$2:$F279,"OK")=1,MAX($T$1:$T278)+1,""))</f>
        <v/>
      </c>
    </row>
    <row r="280">
      <c r="A280" s="11" t="n"/>
      <c r="B280" s="11" t="n"/>
      <c r="C280" s="11" t="n"/>
      <c r="D280" s="11" t="n"/>
      <c r="E280" s="11" t="n"/>
      <c r="F280" s="10">
        <f>IF(AND($A280="",$B280="",$C280=""),"",IF($A280="","⚠ Falta hito",IF(ISNA(MATCH($C280,Cat_Nombre,0)),"⚠ Categoría inválida","OK")))</f>
        <v/>
      </c>
      <c r="G280" s="16">
        <f>IF($F280&lt;&gt;"OK","",IF(UPPER(TRIM($D280))="NO",INDEX(Cat_HMax,MATCH($C280,Cat_Nombre,0)),INDEX(Cat_HMin,MATCH($C280,Cat_Nombre,0))))</f>
        <v/>
      </c>
      <c r="H280" s="16">
        <f>IF($F280&lt;&gt;"OK","",INDEX(Cat_HMax,MATCH($C280,Cat_Nombre,0)))</f>
        <v/>
      </c>
      <c r="I280" s="16">
        <f>IF($F280&lt;&gt;"OK","",(G280+H280)/2)</f>
        <v/>
      </c>
      <c r="J280" s="16">
        <f>IF($F280&lt;&gt;"OK","",G280/HorasDia)</f>
        <v/>
      </c>
      <c r="K280" s="16">
        <f>IF($F280&lt;&gt;"OK","",I280/HorasDia)</f>
        <v/>
      </c>
      <c r="L280" s="16">
        <f>IF($F280&lt;&gt;"OK","",H280/HorasDia)</f>
        <v/>
      </c>
      <c r="M280" s="17">
        <f>IF($F280&lt;&gt;"OK","",IF(UPPER(TRIM($D280))="NO",INDEX(Cat_TMax,MATCH($C280,Cat_Nombre,0)),INDEX(Cat_TMin,MATCH($C280,Cat_Nombre,0))))</f>
        <v/>
      </c>
      <c r="N280" s="17">
        <f>IF($F280&lt;&gt;"OK","",INDEX(Cat_TMax,MATCH($C280,Cat_Nombre,0)))</f>
        <v/>
      </c>
      <c r="O280" s="18">
        <f>IF($F280&lt;&gt;"OK","",INDEX(Cat_POpus,MATCH($C280,Cat_Nombre,0)))</f>
        <v/>
      </c>
      <c r="P280" s="19">
        <f>IF($F280&lt;&gt;"OK","",M280/1000000*((1-O280)*UsdM_Sonnet+O280*UsdM_Opus))</f>
        <v/>
      </c>
      <c r="Q280" s="19">
        <f>IF($F280&lt;&gt;"OK","",N280/1000000*((1-O280)*UsdM_Sonnet+O280*UsdM_Opus))</f>
        <v/>
      </c>
      <c r="R280" s="19">
        <f>IF($F280&lt;&gt;"OK","",G280*TarifaHora)</f>
        <v/>
      </c>
      <c r="S280" s="19">
        <f>IF($F280&lt;&gt;"OK","",H280*TarifaHora)</f>
        <v/>
      </c>
      <c r="T280" s="10">
        <f>IF($F280&lt;&gt;"OK","",IF(COUNTIFS($A$2:$A280,$A280,$F$2:$F280,"OK")=1,MAX($T$1:$T279)+1,""))</f>
        <v/>
      </c>
    </row>
    <row r="281">
      <c r="A281" s="11" t="n"/>
      <c r="B281" s="11" t="n"/>
      <c r="C281" s="11" t="n"/>
      <c r="D281" s="11" t="n"/>
      <c r="E281" s="11" t="n"/>
      <c r="F281" s="10">
        <f>IF(AND($A281="",$B281="",$C281=""),"",IF($A281="","⚠ Falta hito",IF(ISNA(MATCH($C281,Cat_Nombre,0)),"⚠ Categoría inválida","OK")))</f>
        <v/>
      </c>
      <c r="G281" s="16">
        <f>IF($F281&lt;&gt;"OK","",IF(UPPER(TRIM($D281))="NO",INDEX(Cat_HMax,MATCH($C281,Cat_Nombre,0)),INDEX(Cat_HMin,MATCH($C281,Cat_Nombre,0))))</f>
        <v/>
      </c>
      <c r="H281" s="16">
        <f>IF($F281&lt;&gt;"OK","",INDEX(Cat_HMax,MATCH($C281,Cat_Nombre,0)))</f>
        <v/>
      </c>
      <c r="I281" s="16">
        <f>IF($F281&lt;&gt;"OK","",(G281+H281)/2)</f>
        <v/>
      </c>
      <c r="J281" s="16">
        <f>IF($F281&lt;&gt;"OK","",G281/HorasDia)</f>
        <v/>
      </c>
      <c r="K281" s="16">
        <f>IF($F281&lt;&gt;"OK","",I281/HorasDia)</f>
        <v/>
      </c>
      <c r="L281" s="16">
        <f>IF($F281&lt;&gt;"OK","",H281/HorasDia)</f>
        <v/>
      </c>
      <c r="M281" s="17">
        <f>IF($F281&lt;&gt;"OK","",IF(UPPER(TRIM($D281))="NO",INDEX(Cat_TMax,MATCH($C281,Cat_Nombre,0)),INDEX(Cat_TMin,MATCH($C281,Cat_Nombre,0))))</f>
        <v/>
      </c>
      <c r="N281" s="17">
        <f>IF($F281&lt;&gt;"OK","",INDEX(Cat_TMax,MATCH($C281,Cat_Nombre,0)))</f>
        <v/>
      </c>
      <c r="O281" s="18">
        <f>IF($F281&lt;&gt;"OK","",INDEX(Cat_POpus,MATCH($C281,Cat_Nombre,0)))</f>
        <v/>
      </c>
      <c r="P281" s="19">
        <f>IF($F281&lt;&gt;"OK","",M281/1000000*((1-O281)*UsdM_Sonnet+O281*UsdM_Opus))</f>
        <v/>
      </c>
      <c r="Q281" s="19">
        <f>IF($F281&lt;&gt;"OK","",N281/1000000*((1-O281)*UsdM_Sonnet+O281*UsdM_Opus))</f>
        <v/>
      </c>
      <c r="R281" s="19">
        <f>IF($F281&lt;&gt;"OK","",G281*TarifaHora)</f>
        <v/>
      </c>
      <c r="S281" s="19">
        <f>IF($F281&lt;&gt;"OK","",H281*TarifaHora)</f>
        <v/>
      </c>
      <c r="T281" s="10">
        <f>IF($F281&lt;&gt;"OK","",IF(COUNTIFS($A$2:$A281,$A281,$F$2:$F281,"OK")=1,MAX($T$1:$T280)+1,""))</f>
        <v/>
      </c>
    </row>
    <row r="282">
      <c r="A282" s="11" t="n"/>
      <c r="B282" s="11" t="n"/>
      <c r="C282" s="11" t="n"/>
      <c r="D282" s="11" t="n"/>
      <c r="E282" s="11" t="n"/>
      <c r="F282" s="10">
        <f>IF(AND($A282="",$B282="",$C282=""),"",IF($A282="","⚠ Falta hito",IF(ISNA(MATCH($C282,Cat_Nombre,0)),"⚠ Categoría inválida","OK")))</f>
        <v/>
      </c>
      <c r="G282" s="16">
        <f>IF($F282&lt;&gt;"OK","",IF(UPPER(TRIM($D282))="NO",INDEX(Cat_HMax,MATCH($C282,Cat_Nombre,0)),INDEX(Cat_HMin,MATCH($C282,Cat_Nombre,0))))</f>
        <v/>
      </c>
      <c r="H282" s="16">
        <f>IF($F282&lt;&gt;"OK","",INDEX(Cat_HMax,MATCH($C282,Cat_Nombre,0)))</f>
        <v/>
      </c>
      <c r="I282" s="16">
        <f>IF($F282&lt;&gt;"OK","",(G282+H282)/2)</f>
        <v/>
      </c>
      <c r="J282" s="16">
        <f>IF($F282&lt;&gt;"OK","",G282/HorasDia)</f>
        <v/>
      </c>
      <c r="K282" s="16">
        <f>IF($F282&lt;&gt;"OK","",I282/HorasDia)</f>
        <v/>
      </c>
      <c r="L282" s="16">
        <f>IF($F282&lt;&gt;"OK","",H282/HorasDia)</f>
        <v/>
      </c>
      <c r="M282" s="17">
        <f>IF($F282&lt;&gt;"OK","",IF(UPPER(TRIM($D282))="NO",INDEX(Cat_TMax,MATCH($C282,Cat_Nombre,0)),INDEX(Cat_TMin,MATCH($C282,Cat_Nombre,0))))</f>
        <v/>
      </c>
      <c r="N282" s="17">
        <f>IF($F282&lt;&gt;"OK","",INDEX(Cat_TMax,MATCH($C282,Cat_Nombre,0)))</f>
        <v/>
      </c>
      <c r="O282" s="18">
        <f>IF($F282&lt;&gt;"OK","",INDEX(Cat_POpus,MATCH($C282,Cat_Nombre,0)))</f>
        <v/>
      </c>
      <c r="P282" s="19">
        <f>IF($F282&lt;&gt;"OK","",M282/1000000*((1-O282)*UsdM_Sonnet+O282*UsdM_Opus))</f>
        <v/>
      </c>
      <c r="Q282" s="19">
        <f>IF($F282&lt;&gt;"OK","",N282/1000000*((1-O282)*UsdM_Sonnet+O282*UsdM_Opus))</f>
        <v/>
      </c>
      <c r="R282" s="19">
        <f>IF($F282&lt;&gt;"OK","",G282*TarifaHora)</f>
        <v/>
      </c>
      <c r="S282" s="19">
        <f>IF($F282&lt;&gt;"OK","",H282*TarifaHora)</f>
        <v/>
      </c>
      <c r="T282" s="10">
        <f>IF($F282&lt;&gt;"OK","",IF(COUNTIFS($A$2:$A282,$A282,$F$2:$F282,"OK")=1,MAX($T$1:$T281)+1,""))</f>
        <v/>
      </c>
    </row>
    <row r="283">
      <c r="A283" s="11" t="n"/>
      <c r="B283" s="11" t="n"/>
      <c r="C283" s="11" t="n"/>
      <c r="D283" s="11" t="n"/>
      <c r="E283" s="11" t="n"/>
      <c r="F283" s="10">
        <f>IF(AND($A283="",$B283="",$C283=""),"",IF($A283="","⚠ Falta hito",IF(ISNA(MATCH($C283,Cat_Nombre,0)),"⚠ Categoría inválida","OK")))</f>
        <v/>
      </c>
      <c r="G283" s="16">
        <f>IF($F283&lt;&gt;"OK","",IF(UPPER(TRIM($D283))="NO",INDEX(Cat_HMax,MATCH($C283,Cat_Nombre,0)),INDEX(Cat_HMin,MATCH($C283,Cat_Nombre,0))))</f>
        <v/>
      </c>
      <c r="H283" s="16">
        <f>IF($F283&lt;&gt;"OK","",INDEX(Cat_HMax,MATCH($C283,Cat_Nombre,0)))</f>
        <v/>
      </c>
      <c r="I283" s="16">
        <f>IF($F283&lt;&gt;"OK","",(G283+H283)/2)</f>
        <v/>
      </c>
      <c r="J283" s="16">
        <f>IF($F283&lt;&gt;"OK","",G283/HorasDia)</f>
        <v/>
      </c>
      <c r="K283" s="16">
        <f>IF($F283&lt;&gt;"OK","",I283/HorasDia)</f>
        <v/>
      </c>
      <c r="L283" s="16">
        <f>IF($F283&lt;&gt;"OK","",H283/HorasDia)</f>
        <v/>
      </c>
      <c r="M283" s="17">
        <f>IF($F283&lt;&gt;"OK","",IF(UPPER(TRIM($D283))="NO",INDEX(Cat_TMax,MATCH($C283,Cat_Nombre,0)),INDEX(Cat_TMin,MATCH($C283,Cat_Nombre,0))))</f>
        <v/>
      </c>
      <c r="N283" s="17">
        <f>IF($F283&lt;&gt;"OK","",INDEX(Cat_TMax,MATCH($C283,Cat_Nombre,0)))</f>
        <v/>
      </c>
      <c r="O283" s="18">
        <f>IF($F283&lt;&gt;"OK","",INDEX(Cat_POpus,MATCH($C283,Cat_Nombre,0)))</f>
        <v/>
      </c>
      <c r="P283" s="19">
        <f>IF($F283&lt;&gt;"OK","",M283/1000000*((1-O283)*UsdM_Sonnet+O283*UsdM_Opus))</f>
        <v/>
      </c>
      <c r="Q283" s="19">
        <f>IF($F283&lt;&gt;"OK","",N283/1000000*((1-O283)*UsdM_Sonnet+O283*UsdM_Opus))</f>
        <v/>
      </c>
      <c r="R283" s="19">
        <f>IF($F283&lt;&gt;"OK","",G283*TarifaHora)</f>
        <v/>
      </c>
      <c r="S283" s="19">
        <f>IF($F283&lt;&gt;"OK","",H283*TarifaHora)</f>
        <v/>
      </c>
      <c r="T283" s="10">
        <f>IF($F283&lt;&gt;"OK","",IF(COUNTIFS($A$2:$A283,$A283,$F$2:$F283,"OK")=1,MAX($T$1:$T282)+1,""))</f>
        <v/>
      </c>
    </row>
    <row r="284">
      <c r="A284" s="11" t="n"/>
      <c r="B284" s="11" t="n"/>
      <c r="C284" s="11" t="n"/>
      <c r="D284" s="11" t="n"/>
      <c r="E284" s="11" t="n"/>
      <c r="F284" s="10">
        <f>IF(AND($A284="",$B284="",$C284=""),"",IF($A284="","⚠ Falta hito",IF(ISNA(MATCH($C284,Cat_Nombre,0)),"⚠ Categoría inválida","OK")))</f>
        <v/>
      </c>
      <c r="G284" s="16">
        <f>IF($F284&lt;&gt;"OK","",IF(UPPER(TRIM($D284))="NO",INDEX(Cat_HMax,MATCH($C284,Cat_Nombre,0)),INDEX(Cat_HMin,MATCH($C284,Cat_Nombre,0))))</f>
        <v/>
      </c>
      <c r="H284" s="16">
        <f>IF($F284&lt;&gt;"OK","",INDEX(Cat_HMax,MATCH($C284,Cat_Nombre,0)))</f>
        <v/>
      </c>
      <c r="I284" s="16">
        <f>IF($F284&lt;&gt;"OK","",(G284+H284)/2)</f>
        <v/>
      </c>
      <c r="J284" s="16">
        <f>IF($F284&lt;&gt;"OK","",G284/HorasDia)</f>
        <v/>
      </c>
      <c r="K284" s="16">
        <f>IF($F284&lt;&gt;"OK","",I284/HorasDia)</f>
        <v/>
      </c>
      <c r="L284" s="16">
        <f>IF($F284&lt;&gt;"OK","",H284/HorasDia)</f>
        <v/>
      </c>
      <c r="M284" s="17">
        <f>IF($F284&lt;&gt;"OK","",IF(UPPER(TRIM($D284))="NO",INDEX(Cat_TMax,MATCH($C284,Cat_Nombre,0)),INDEX(Cat_TMin,MATCH($C284,Cat_Nombre,0))))</f>
        <v/>
      </c>
      <c r="N284" s="17">
        <f>IF($F284&lt;&gt;"OK","",INDEX(Cat_TMax,MATCH($C284,Cat_Nombre,0)))</f>
        <v/>
      </c>
      <c r="O284" s="18">
        <f>IF($F284&lt;&gt;"OK","",INDEX(Cat_POpus,MATCH($C284,Cat_Nombre,0)))</f>
        <v/>
      </c>
      <c r="P284" s="19">
        <f>IF($F284&lt;&gt;"OK","",M284/1000000*((1-O284)*UsdM_Sonnet+O284*UsdM_Opus))</f>
        <v/>
      </c>
      <c r="Q284" s="19">
        <f>IF($F284&lt;&gt;"OK","",N284/1000000*((1-O284)*UsdM_Sonnet+O284*UsdM_Opus))</f>
        <v/>
      </c>
      <c r="R284" s="19">
        <f>IF($F284&lt;&gt;"OK","",G284*TarifaHora)</f>
        <v/>
      </c>
      <c r="S284" s="19">
        <f>IF($F284&lt;&gt;"OK","",H284*TarifaHora)</f>
        <v/>
      </c>
      <c r="T284" s="10">
        <f>IF($F284&lt;&gt;"OK","",IF(COUNTIFS($A$2:$A284,$A284,$F$2:$F284,"OK")=1,MAX($T$1:$T283)+1,""))</f>
        <v/>
      </c>
    </row>
    <row r="285">
      <c r="A285" s="11" t="n"/>
      <c r="B285" s="11" t="n"/>
      <c r="C285" s="11" t="n"/>
      <c r="D285" s="11" t="n"/>
      <c r="E285" s="11" t="n"/>
      <c r="F285" s="10">
        <f>IF(AND($A285="",$B285="",$C285=""),"",IF($A285="","⚠ Falta hito",IF(ISNA(MATCH($C285,Cat_Nombre,0)),"⚠ Categoría inválida","OK")))</f>
        <v/>
      </c>
      <c r="G285" s="16">
        <f>IF($F285&lt;&gt;"OK","",IF(UPPER(TRIM($D285))="NO",INDEX(Cat_HMax,MATCH($C285,Cat_Nombre,0)),INDEX(Cat_HMin,MATCH($C285,Cat_Nombre,0))))</f>
        <v/>
      </c>
      <c r="H285" s="16">
        <f>IF($F285&lt;&gt;"OK","",INDEX(Cat_HMax,MATCH($C285,Cat_Nombre,0)))</f>
        <v/>
      </c>
      <c r="I285" s="16">
        <f>IF($F285&lt;&gt;"OK","",(G285+H285)/2)</f>
        <v/>
      </c>
      <c r="J285" s="16">
        <f>IF($F285&lt;&gt;"OK","",G285/HorasDia)</f>
        <v/>
      </c>
      <c r="K285" s="16">
        <f>IF($F285&lt;&gt;"OK","",I285/HorasDia)</f>
        <v/>
      </c>
      <c r="L285" s="16">
        <f>IF($F285&lt;&gt;"OK","",H285/HorasDia)</f>
        <v/>
      </c>
      <c r="M285" s="17">
        <f>IF($F285&lt;&gt;"OK","",IF(UPPER(TRIM($D285))="NO",INDEX(Cat_TMax,MATCH($C285,Cat_Nombre,0)),INDEX(Cat_TMin,MATCH($C285,Cat_Nombre,0))))</f>
        <v/>
      </c>
      <c r="N285" s="17">
        <f>IF($F285&lt;&gt;"OK","",INDEX(Cat_TMax,MATCH($C285,Cat_Nombre,0)))</f>
        <v/>
      </c>
      <c r="O285" s="18">
        <f>IF($F285&lt;&gt;"OK","",INDEX(Cat_POpus,MATCH($C285,Cat_Nombre,0)))</f>
        <v/>
      </c>
      <c r="P285" s="19">
        <f>IF($F285&lt;&gt;"OK","",M285/1000000*((1-O285)*UsdM_Sonnet+O285*UsdM_Opus))</f>
        <v/>
      </c>
      <c r="Q285" s="19">
        <f>IF($F285&lt;&gt;"OK","",N285/1000000*((1-O285)*UsdM_Sonnet+O285*UsdM_Opus))</f>
        <v/>
      </c>
      <c r="R285" s="19">
        <f>IF($F285&lt;&gt;"OK","",G285*TarifaHora)</f>
        <v/>
      </c>
      <c r="S285" s="19">
        <f>IF($F285&lt;&gt;"OK","",H285*TarifaHora)</f>
        <v/>
      </c>
      <c r="T285" s="10">
        <f>IF($F285&lt;&gt;"OK","",IF(COUNTIFS($A$2:$A285,$A285,$F$2:$F285,"OK")=1,MAX($T$1:$T284)+1,""))</f>
        <v/>
      </c>
    </row>
    <row r="286">
      <c r="A286" s="11" t="n"/>
      <c r="B286" s="11" t="n"/>
      <c r="C286" s="11" t="n"/>
      <c r="D286" s="11" t="n"/>
      <c r="E286" s="11" t="n"/>
      <c r="F286" s="10">
        <f>IF(AND($A286="",$B286="",$C286=""),"",IF($A286="","⚠ Falta hito",IF(ISNA(MATCH($C286,Cat_Nombre,0)),"⚠ Categoría inválida","OK")))</f>
        <v/>
      </c>
      <c r="G286" s="16">
        <f>IF($F286&lt;&gt;"OK","",IF(UPPER(TRIM($D286))="NO",INDEX(Cat_HMax,MATCH($C286,Cat_Nombre,0)),INDEX(Cat_HMin,MATCH($C286,Cat_Nombre,0))))</f>
        <v/>
      </c>
      <c r="H286" s="16">
        <f>IF($F286&lt;&gt;"OK","",INDEX(Cat_HMax,MATCH($C286,Cat_Nombre,0)))</f>
        <v/>
      </c>
      <c r="I286" s="16">
        <f>IF($F286&lt;&gt;"OK","",(G286+H286)/2)</f>
        <v/>
      </c>
      <c r="J286" s="16">
        <f>IF($F286&lt;&gt;"OK","",G286/HorasDia)</f>
        <v/>
      </c>
      <c r="K286" s="16">
        <f>IF($F286&lt;&gt;"OK","",I286/HorasDia)</f>
        <v/>
      </c>
      <c r="L286" s="16">
        <f>IF($F286&lt;&gt;"OK","",H286/HorasDia)</f>
        <v/>
      </c>
      <c r="M286" s="17">
        <f>IF($F286&lt;&gt;"OK","",IF(UPPER(TRIM($D286))="NO",INDEX(Cat_TMax,MATCH($C286,Cat_Nombre,0)),INDEX(Cat_TMin,MATCH($C286,Cat_Nombre,0))))</f>
        <v/>
      </c>
      <c r="N286" s="17">
        <f>IF($F286&lt;&gt;"OK","",INDEX(Cat_TMax,MATCH($C286,Cat_Nombre,0)))</f>
        <v/>
      </c>
      <c r="O286" s="18">
        <f>IF($F286&lt;&gt;"OK","",INDEX(Cat_POpus,MATCH($C286,Cat_Nombre,0)))</f>
        <v/>
      </c>
      <c r="P286" s="19">
        <f>IF($F286&lt;&gt;"OK","",M286/1000000*((1-O286)*UsdM_Sonnet+O286*UsdM_Opus))</f>
        <v/>
      </c>
      <c r="Q286" s="19">
        <f>IF($F286&lt;&gt;"OK","",N286/1000000*((1-O286)*UsdM_Sonnet+O286*UsdM_Opus))</f>
        <v/>
      </c>
      <c r="R286" s="19">
        <f>IF($F286&lt;&gt;"OK","",G286*TarifaHora)</f>
        <v/>
      </c>
      <c r="S286" s="19">
        <f>IF($F286&lt;&gt;"OK","",H286*TarifaHora)</f>
        <v/>
      </c>
      <c r="T286" s="10">
        <f>IF($F286&lt;&gt;"OK","",IF(COUNTIFS($A$2:$A286,$A286,$F$2:$F286,"OK")=1,MAX($T$1:$T285)+1,""))</f>
        <v/>
      </c>
    </row>
    <row r="287">
      <c r="A287" s="11" t="n"/>
      <c r="B287" s="11" t="n"/>
      <c r="C287" s="11" t="n"/>
      <c r="D287" s="11" t="n"/>
      <c r="E287" s="11" t="n"/>
      <c r="F287" s="10">
        <f>IF(AND($A287="",$B287="",$C287=""),"",IF($A287="","⚠ Falta hito",IF(ISNA(MATCH($C287,Cat_Nombre,0)),"⚠ Categoría inválida","OK")))</f>
        <v/>
      </c>
      <c r="G287" s="16">
        <f>IF($F287&lt;&gt;"OK","",IF(UPPER(TRIM($D287))="NO",INDEX(Cat_HMax,MATCH($C287,Cat_Nombre,0)),INDEX(Cat_HMin,MATCH($C287,Cat_Nombre,0))))</f>
        <v/>
      </c>
      <c r="H287" s="16">
        <f>IF($F287&lt;&gt;"OK","",INDEX(Cat_HMax,MATCH($C287,Cat_Nombre,0)))</f>
        <v/>
      </c>
      <c r="I287" s="16">
        <f>IF($F287&lt;&gt;"OK","",(G287+H287)/2)</f>
        <v/>
      </c>
      <c r="J287" s="16">
        <f>IF($F287&lt;&gt;"OK","",G287/HorasDia)</f>
        <v/>
      </c>
      <c r="K287" s="16">
        <f>IF($F287&lt;&gt;"OK","",I287/HorasDia)</f>
        <v/>
      </c>
      <c r="L287" s="16">
        <f>IF($F287&lt;&gt;"OK","",H287/HorasDia)</f>
        <v/>
      </c>
      <c r="M287" s="17">
        <f>IF($F287&lt;&gt;"OK","",IF(UPPER(TRIM($D287))="NO",INDEX(Cat_TMax,MATCH($C287,Cat_Nombre,0)),INDEX(Cat_TMin,MATCH($C287,Cat_Nombre,0))))</f>
        <v/>
      </c>
      <c r="N287" s="17">
        <f>IF($F287&lt;&gt;"OK","",INDEX(Cat_TMax,MATCH($C287,Cat_Nombre,0)))</f>
        <v/>
      </c>
      <c r="O287" s="18">
        <f>IF($F287&lt;&gt;"OK","",INDEX(Cat_POpus,MATCH($C287,Cat_Nombre,0)))</f>
        <v/>
      </c>
      <c r="P287" s="19">
        <f>IF($F287&lt;&gt;"OK","",M287/1000000*((1-O287)*UsdM_Sonnet+O287*UsdM_Opus))</f>
        <v/>
      </c>
      <c r="Q287" s="19">
        <f>IF($F287&lt;&gt;"OK","",N287/1000000*((1-O287)*UsdM_Sonnet+O287*UsdM_Opus))</f>
        <v/>
      </c>
      <c r="R287" s="19">
        <f>IF($F287&lt;&gt;"OK","",G287*TarifaHora)</f>
        <v/>
      </c>
      <c r="S287" s="19">
        <f>IF($F287&lt;&gt;"OK","",H287*TarifaHora)</f>
        <v/>
      </c>
      <c r="T287" s="10">
        <f>IF($F287&lt;&gt;"OK","",IF(COUNTIFS($A$2:$A287,$A287,$F$2:$F287,"OK")=1,MAX($T$1:$T286)+1,""))</f>
        <v/>
      </c>
    </row>
    <row r="288">
      <c r="A288" s="11" t="n"/>
      <c r="B288" s="11" t="n"/>
      <c r="C288" s="11" t="n"/>
      <c r="D288" s="11" t="n"/>
      <c r="E288" s="11" t="n"/>
      <c r="F288" s="10">
        <f>IF(AND($A288="",$B288="",$C288=""),"",IF($A288="","⚠ Falta hito",IF(ISNA(MATCH($C288,Cat_Nombre,0)),"⚠ Categoría inválida","OK")))</f>
        <v/>
      </c>
      <c r="G288" s="16">
        <f>IF($F288&lt;&gt;"OK","",IF(UPPER(TRIM($D288))="NO",INDEX(Cat_HMax,MATCH($C288,Cat_Nombre,0)),INDEX(Cat_HMin,MATCH($C288,Cat_Nombre,0))))</f>
        <v/>
      </c>
      <c r="H288" s="16">
        <f>IF($F288&lt;&gt;"OK","",INDEX(Cat_HMax,MATCH($C288,Cat_Nombre,0)))</f>
        <v/>
      </c>
      <c r="I288" s="16">
        <f>IF($F288&lt;&gt;"OK","",(G288+H288)/2)</f>
        <v/>
      </c>
      <c r="J288" s="16">
        <f>IF($F288&lt;&gt;"OK","",G288/HorasDia)</f>
        <v/>
      </c>
      <c r="K288" s="16">
        <f>IF($F288&lt;&gt;"OK","",I288/HorasDia)</f>
        <v/>
      </c>
      <c r="L288" s="16">
        <f>IF($F288&lt;&gt;"OK","",H288/HorasDia)</f>
        <v/>
      </c>
      <c r="M288" s="17">
        <f>IF($F288&lt;&gt;"OK","",IF(UPPER(TRIM($D288))="NO",INDEX(Cat_TMax,MATCH($C288,Cat_Nombre,0)),INDEX(Cat_TMin,MATCH($C288,Cat_Nombre,0))))</f>
        <v/>
      </c>
      <c r="N288" s="17">
        <f>IF($F288&lt;&gt;"OK","",INDEX(Cat_TMax,MATCH($C288,Cat_Nombre,0)))</f>
        <v/>
      </c>
      <c r="O288" s="18">
        <f>IF($F288&lt;&gt;"OK","",INDEX(Cat_POpus,MATCH($C288,Cat_Nombre,0)))</f>
        <v/>
      </c>
      <c r="P288" s="19">
        <f>IF($F288&lt;&gt;"OK","",M288/1000000*((1-O288)*UsdM_Sonnet+O288*UsdM_Opus))</f>
        <v/>
      </c>
      <c r="Q288" s="19">
        <f>IF($F288&lt;&gt;"OK","",N288/1000000*((1-O288)*UsdM_Sonnet+O288*UsdM_Opus))</f>
        <v/>
      </c>
      <c r="R288" s="19">
        <f>IF($F288&lt;&gt;"OK","",G288*TarifaHora)</f>
        <v/>
      </c>
      <c r="S288" s="19">
        <f>IF($F288&lt;&gt;"OK","",H288*TarifaHora)</f>
        <v/>
      </c>
      <c r="T288" s="10">
        <f>IF($F288&lt;&gt;"OK","",IF(COUNTIFS($A$2:$A288,$A288,$F$2:$F288,"OK")=1,MAX($T$1:$T287)+1,""))</f>
        <v/>
      </c>
    </row>
    <row r="289">
      <c r="A289" s="11" t="n"/>
      <c r="B289" s="11" t="n"/>
      <c r="C289" s="11" t="n"/>
      <c r="D289" s="11" t="n"/>
      <c r="E289" s="11" t="n"/>
      <c r="F289" s="10">
        <f>IF(AND($A289="",$B289="",$C289=""),"",IF($A289="","⚠ Falta hito",IF(ISNA(MATCH($C289,Cat_Nombre,0)),"⚠ Categoría inválida","OK")))</f>
        <v/>
      </c>
      <c r="G289" s="16">
        <f>IF($F289&lt;&gt;"OK","",IF(UPPER(TRIM($D289))="NO",INDEX(Cat_HMax,MATCH($C289,Cat_Nombre,0)),INDEX(Cat_HMin,MATCH($C289,Cat_Nombre,0))))</f>
        <v/>
      </c>
      <c r="H289" s="16">
        <f>IF($F289&lt;&gt;"OK","",INDEX(Cat_HMax,MATCH($C289,Cat_Nombre,0)))</f>
        <v/>
      </c>
      <c r="I289" s="16">
        <f>IF($F289&lt;&gt;"OK","",(G289+H289)/2)</f>
        <v/>
      </c>
      <c r="J289" s="16">
        <f>IF($F289&lt;&gt;"OK","",G289/HorasDia)</f>
        <v/>
      </c>
      <c r="K289" s="16">
        <f>IF($F289&lt;&gt;"OK","",I289/HorasDia)</f>
        <v/>
      </c>
      <c r="L289" s="16">
        <f>IF($F289&lt;&gt;"OK","",H289/HorasDia)</f>
        <v/>
      </c>
      <c r="M289" s="17">
        <f>IF($F289&lt;&gt;"OK","",IF(UPPER(TRIM($D289))="NO",INDEX(Cat_TMax,MATCH($C289,Cat_Nombre,0)),INDEX(Cat_TMin,MATCH($C289,Cat_Nombre,0))))</f>
        <v/>
      </c>
      <c r="N289" s="17">
        <f>IF($F289&lt;&gt;"OK","",INDEX(Cat_TMax,MATCH($C289,Cat_Nombre,0)))</f>
        <v/>
      </c>
      <c r="O289" s="18">
        <f>IF($F289&lt;&gt;"OK","",INDEX(Cat_POpus,MATCH($C289,Cat_Nombre,0)))</f>
        <v/>
      </c>
      <c r="P289" s="19">
        <f>IF($F289&lt;&gt;"OK","",M289/1000000*((1-O289)*UsdM_Sonnet+O289*UsdM_Opus))</f>
        <v/>
      </c>
      <c r="Q289" s="19">
        <f>IF($F289&lt;&gt;"OK","",N289/1000000*((1-O289)*UsdM_Sonnet+O289*UsdM_Opus))</f>
        <v/>
      </c>
      <c r="R289" s="19">
        <f>IF($F289&lt;&gt;"OK","",G289*TarifaHora)</f>
        <v/>
      </c>
      <c r="S289" s="19">
        <f>IF($F289&lt;&gt;"OK","",H289*TarifaHora)</f>
        <v/>
      </c>
      <c r="T289" s="10">
        <f>IF($F289&lt;&gt;"OK","",IF(COUNTIFS($A$2:$A289,$A289,$F$2:$F289,"OK")=1,MAX($T$1:$T288)+1,""))</f>
        <v/>
      </c>
    </row>
    <row r="290">
      <c r="A290" s="11" t="n"/>
      <c r="B290" s="11" t="n"/>
      <c r="C290" s="11" t="n"/>
      <c r="D290" s="11" t="n"/>
      <c r="E290" s="11" t="n"/>
      <c r="F290" s="10">
        <f>IF(AND($A290="",$B290="",$C290=""),"",IF($A290="","⚠ Falta hito",IF(ISNA(MATCH($C290,Cat_Nombre,0)),"⚠ Categoría inválida","OK")))</f>
        <v/>
      </c>
      <c r="G290" s="16">
        <f>IF($F290&lt;&gt;"OK","",IF(UPPER(TRIM($D290))="NO",INDEX(Cat_HMax,MATCH($C290,Cat_Nombre,0)),INDEX(Cat_HMin,MATCH($C290,Cat_Nombre,0))))</f>
        <v/>
      </c>
      <c r="H290" s="16">
        <f>IF($F290&lt;&gt;"OK","",INDEX(Cat_HMax,MATCH($C290,Cat_Nombre,0)))</f>
        <v/>
      </c>
      <c r="I290" s="16">
        <f>IF($F290&lt;&gt;"OK","",(G290+H290)/2)</f>
        <v/>
      </c>
      <c r="J290" s="16">
        <f>IF($F290&lt;&gt;"OK","",G290/HorasDia)</f>
        <v/>
      </c>
      <c r="K290" s="16">
        <f>IF($F290&lt;&gt;"OK","",I290/HorasDia)</f>
        <v/>
      </c>
      <c r="L290" s="16">
        <f>IF($F290&lt;&gt;"OK","",H290/HorasDia)</f>
        <v/>
      </c>
      <c r="M290" s="17">
        <f>IF($F290&lt;&gt;"OK","",IF(UPPER(TRIM($D290))="NO",INDEX(Cat_TMax,MATCH($C290,Cat_Nombre,0)),INDEX(Cat_TMin,MATCH($C290,Cat_Nombre,0))))</f>
        <v/>
      </c>
      <c r="N290" s="17">
        <f>IF($F290&lt;&gt;"OK","",INDEX(Cat_TMax,MATCH($C290,Cat_Nombre,0)))</f>
        <v/>
      </c>
      <c r="O290" s="18">
        <f>IF($F290&lt;&gt;"OK","",INDEX(Cat_POpus,MATCH($C290,Cat_Nombre,0)))</f>
        <v/>
      </c>
      <c r="P290" s="19">
        <f>IF($F290&lt;&gt;"OK","",M290/1000000*((1-O290)*UsdM_Sonnet+O290*UsdM_Opus))</f>
        <v/>
      </c>
      <c r="Q290" s="19">
        <f>IF($F290&lt;&gt;"OK","",N290/1000000*((1-O290)*UsdM_Sonnet+O290*UsdM_Opus))</f>
        <v/>
      </c>
      <c r="R290" s="19">
        <f>IF($F290&lt;&gt;"OK","",G290*TarifaHora)</f>
        <v/>
      </c>
      <c r="S290" s="19">
        <f>IF($F290&lt;&gt;"OK","",H290*TarifaHora)</f>
        <v/>
      </c>
      <c r="T290" s="10">
        <f>IF($F290&lt;&gt;"OK","",IF(COUNTIFS($A$2:$A290,$A290,$F$2:$F290,"OK")=1,MAX($T$1:$T289)+1,""))</f>
        <v/>
      </c>
    </row>
    <row r="291">
      <c r="A291" s="11" t="n"/>
      <c r="B291" s="11" t="n"/>
      <c r="C291" s="11" t="n"/>
      <c r="D291" s="11" t="n"/>
      <c r="E291" s="11" t="n"/>
      <c r="F291" s="10">
        <f>IF(AND($A291="",$B291="",$C291=""),"",IF($A291="","⚠ Falta hito",IF(ISNA(MATCH($C291,Cat_Nombre,0)),"⚠ Categoría inválida","OK")))</f>
        <v/>
      </c>
      <c r="G291" s="16">
        <f>IF($F291&lt;&gt;"OK","",IF(UPPER(TRIM($D291))="NO",INDEX(Cat_HMax,MATCH($C291,Cat_Nombre,0)),INDEX(Cat_HMin,MATCH($C291,Cat_Nombre,0))))</f>
        <v/>
      </c>
      <c r="H291" s="16">
        <f>IF($F291&lt;&gt;"OK","",INDEX(Cat_HMax,MATCH($C291,Cat_Nombre,0)))</f>
        <v/>
      </c>
      <c r="I291" s="16">
        <f>IF($F291&lt;&gt;"OK","",(G291+H291)/2)</f>
        <v/>
      </c>
      <c r="J291" s="16">
        <f>IF($F291&lt;&gt;"OK","",G291/HorasDia)</f>
        <v/>
      </c>
      <c r="K291" s="16">
        <f>IF($F291&lt;&gt;"OK","",I291/HorasDia)</f>
        <v/>
      </c>
      <c r="L291" s="16">
        <f>IF($F291&lt;&gt;"OK","",H291/HorasDia)</f>
        <v/>
      </c>
      <c r="M291" s="17">
        <f>IF($F291&lt;&gt;"OK","",IF(UPPER(TRIM($D291))="NO",INDEX(Cat_TMax,MATCH($C291,Cat_Nombre,0)),INDEX(Cat_TMin,MATCH($C291,Cat_Nombre,0))))</f>
        <v/>
      </c>
      <c r="N291" s="17">
        <f>IF($F291&lt;&gt;"OK","",INDEX(Cat_TMax,MATCH($C291,Cat_Nombre,0)))</f>
        <v/>
      </c>
      <c r="O291" s="18">
        <f>IF($F291&lt;&gt;"OK","",INDEX(Cat_POpus,MATCH($C291,Cat_Nombre,0)))</f>
        <v/>
      </c>
      <c r="P291" s="19">
        <f>IF($F291&lt;&gt;"OK","",M291/1000000*((1-O291)*UsdM_Sonnet+O291*UsdM_Opus))</f>
        <v/>
      </c>
      <c r="Q291" s="19">
        <f>IF($F291&lt;&gt;"OK","",N291/1000000*((1-O291)*UsdM_Sonnet+O291*UsdM_Opus))</f>
        <v/>
      </c>
      <c r="R291" s="19">
        <f>IF($F291&lt;&gt;"OK","",G291*TarifaHora)</f>
        <v/>
      </c>
      <c r="S291" s="19">
        <f>IF($F291&lt;&gt;"OK","",H291*TarifaHora)</f>
        <v/>
      </c>
      <c r="T291" s="10">
        <f>IF($F291&lt;&gt;"OK","",IF(COUNTIFS($A$2:$A291,$A291,$F$2:$F291,"OK")=1,MAX($T$1:$T290)+1,""))</f>
        <v/>
      </c>
    </row>
    <row r="292">
      <c r="A292" s="11" t="n"/>
      <c r="B292" s="11" t="n"/>
      <c r="C292" s="11" t="n"/>
      <c r="D292" s="11" t="n"/>
      <c r="E292" s="11" t="n"/>
      <c r="F292" s="10">
        <f>IF(AND($A292="",$B292="",$C292=""),"",IF($A292="","⚠ Falta hito",IF(ISNA(MATCH($C292,Cat_Nombre,0)),"⚠ Categoría inválida","OK")))</f>
        <v/>
      </c>
      <c r="G292" s="16">
        <f>IF($F292&lt;&gt;"OK","",IF(UPPER(TRIM($D292))="NO",INDEX(Cat_HMax,MATCH($C292,Cat_Nombre,0)),INDEX(Cat_HMin,MATCH($C292,Cat_Nombre,0))))</f>
        <v/>
      </c>
      <c r="H292" s="16">
        <f>IF($F292&lt;&gt;"OK","",INDEX(Cat_HMax,MATCH($C292,Cat_Nombre,0)))</f>
        <v/>
      </c>
      <c r="I292" s="16">
        <f>IF($F292&lt;&gt;"OK","",(G292+H292)/2)</f>
        <v/>
      </c>
      <c r="J292" s="16">
        <f>IF($F292&lt;&gt;"OK","",G292/HorasDia)</f>
        <v/>
      </c>
      <c r="K292" s="16">
        <f>IF($F292&lt;&gt;"OK","",I292/HorasDia)</f>
        <v/>
      </c>
      <c r="L292" s="16">
        <f>IF($F292&lt;&gt;"OK","",H292/HorasDia)</f>
        <v/>
      </c>
      <c r="M292" s="17">
        <f>IF($F292&lt;&gt;"OK","",IF(UPPER(TRIM($D292))="NO",INDEX(Cat_TMax,MATCH($C292,Cat_Nombre,0)),INDEX(Cat_TMin,MATCH($C292,Cat_Nombre,0))))</f>
        <v/>
      </c>
      <c r="N292" s="17">
        <f>IF($F292&lt;&gt;"OK","",INDEX(Cat_TMax,MATCH($C292,Cat_Nombre,0)))</f>
        <v/>
      </c>
      <c r="O292" s="18">
        <f>IF($F292&lt;&gt;"OK","",INDEX(Cat_POpus,MATCH($C292,Cat_Nombre,0)))</f>
        <v/>
      </c>
      <c r="P292" s="19">
        <f>IF($F292&lt;&gt;"OK","",M292/1000000*((1-O292)*UsdM_Sonnet+O292*UsdM_Opus))</f>
        <v/>
      </c>
      <c r="Q292" s="19">
        <f>IF($F292&lt;&gt;"OK","",N292/1000000*((1-O292)*UsdM_Sonnet+O292*UsdM_Opus))</f>
        <v/>
      </c>
      <c r="R292" s="19">
        <f>IF($F292&lt;&gt;"OK","",G292*TarifaHora)</f>
        <v/>
      </c>
      <c r="S292" s="19">
        <f>IF($F292&lt;&gt;"OK","",H292*TarifaHora)</f>
        <v/>
      </c>
      <c r="T292" s="10">
        <f>IF($F292&lt;&gt;"OK","",IF(COUNTIFS($A$2:$A292,$A292,$F$2:$F292,"OK")=1,MAX($T$1:$T291)+1,""))</f>
        <v/>
      </c>
    </row>
    <row r="293">
      <c r="A293" s="11" t="n"/>
      <c r="B293" s="11" t="n"/>
      <c r="C293" s="11" t="n"/>
      <c r="D293" s="11" t="n"/>
      <c r="E293" s="11" t="n"/>
      <c r="F293" s="10">
        <f>IF(AND($A293="",$B293="",$C293=""),"",IF($A293="","⚠ Falta hito",IF(ISNA(MATCH($C293,Cat_Nombre,0)),"⚠ Categoría inválida","OK")))</f>
        <v/>
      </c>
      <c r="G293" s="16">
        <f>IF($F293&lt;&gt;"OK","",IF(UPPER(TRIM($D293))="NO",INDEX(Cat_HMax,MATCH($C293,Cat_Nombre,0)),INDEX(Cat_HMin,MATCH($C293,Cat_Nombre,0))))</f>
        <v/>
      </c>
      <c r="H293" s="16">
        <f>IF($F293&lt;&gt;"OK","",INDEX(Cat_HMax,MATCH($C293,Cat_Nombre,0)))</f>
        <v/>
      </c>
      <c r="I293" s="16">
        <f>IF($F293&lt;&gt;"OK","",(G293+H293)/2)</f>
        <v/>
      </c>
      <c r="J293" s="16">
        <f>IF($F293&lt;&gt;"OK","",G293/HorasDia)</f>
        <v/>
      </c>
      <c r="K293" s="16">
        <f>IF($F293&lt;&gt;"OK","",I293/HorasDia)</f>
        <v/>
      </c>
      <c r="L293" s="16">
        <f>IF($F293&lt;&gt;"OK","",H293/HorasDia)</f>
        <v/>
      </c>
      <c r="M293" s="17">
        <f>IF($F293&lt;&gt;"OK","",IF(UPPER(TRIM($D293))="NO",INDEX(Cat_TMax,MATCH($C293,Cat_Nombre,0)),INDEX(Cat_TMin,MATCH($C293,Cat_Nombre,0))))</f>
        <v/>
      </c>
      <c r="N293" s="17">
        <f>IF($F293&lt;&gt;"OK","",INDEX(Cat_TMax,MATCH($C293,Cat_Nombre,0)))</f>
        <v/>
      </c>
      <c r="O293" s="18">
        <f>IF($F293&lt;&gt;"OK","",INDEX(Cat_POpus,MATCH($C293,Cat_Nombre,0)))</f>
        <v/>
      </c>
      <c r="P293" s="19">
        <f>IF($F293&lt;&gt;"OK","",M293/1000000*((1-O293)*UsdM_Sonnet+O293*UsdM_Opus))</f>
        <v/>
      </c>
      <c r="Q293" s="19">
        <f>IF($F293&lt;&gt;"OK","",N293/1000000*((1-O293)*UsdM_Sonnet+O293*UsdM_Opus))</f>
        <v/>
      </c>
      <c r="R293" s="19">
        <f>IF($F293&lt;&gt;"OK","",G293*TarifaHora)</f>
        <v/>
      </c>
      <c r="S293" s="19">
        <f>IF($F293&lt;&gt;"OK","",H293*TarifaHora)</f>
        <v/>
      </c>
      <c r="T293" s="10">
        <f>IF($F293&lt;&gt;"OK","",IF(COUNTIFS($A$2:$A293,$A293,$F$2:$F293,"OK")=1,MAX($T$1:$T292)+1,""))</f>
        <v/>
      </c>
    </row>
    <row r="294">
      <c r="A294" s="11" t="n"/>
      <c r="B294" s="11" t="n"/>
      <c r="C294" s="11" t="n"/>
      <c r="D294" s="11" t="n"/>
      <c r="E294" s="11" t="n"/>
      <c r="F294" s="10">
        <f>IF(AND($A294="",$B294="",$C294=""),"",IF($A294="","⚠ Falta hito",IF(ISNA(MATCH($C294,Cat_Nombre,0)),"⚠ Categoría inválida","OK")))</f>
        <v/>
      </c>
      <c r="G294" s="16">
        <f>IF($F294&lt;&gt;"OK","",IF(UPPER(TRIM($D294))="NO",INDEX(Cat_HMax,MATCH($C294,Cat_Nombre,0)),INDEX(Cat_HMin,MATCH($C294,Cat_Nombre,0))))</f>
        <v/>
      </c>
      <c r="H294" s="16">
        <f>IF($F294&lt;&gt;"OK","",INDEX(Cat_HMax,MATCH($C294,Cat_Nombre,0)))</f>
        <v/>
      </c>
      <c r="I294" s="16">
        <f>IF($F294&lt;&gt;"OK","",(G294+H294)/2)</f>
        <v/>
      </c>
      <c r="J294" s="16">
        <f>IF($F294&lt;&gt;"OK","",G294/HorasDia)</f>
        <v/>
      </c>
      <c r="K294" s="16">
        <f>IF($F294&lt;&gt;"OK","",I294/HorasDia)</f>
        <v/>
      </c>
      <c r="L294" s="16">
        <f>IF($F294&lt;&gt;"OK","",H294/HorasDia)</f>
        <v/>
      </c>
      <c r="M294" s="17">
        <f>IF($F294&lt;&gt;"OK","",IF(UPPER(TRIM($D294))="NO",INDEX(Cat_TMax,MATCH($C294,Cat_Nombre,0)),INDEX(Cat_TMin,MATCH($C294,Cat_Nombre,0))))</f>
        <v/>
      </c>
      <c r="N294" s="17">
        <f>IF($F294&lt;&gt;"OK","",INDEX(Cat_TMax,MATCH($C294,Cat_Nombre,0)))</f>
        <v/>
      </c>
      <c r="O294" s="18">
        <f>IF($F294&lt;&gt;"OK","",INDEX(Cat_POpus,MATCH($C294,Cat_Nombre,0)))</f>
        <v/>
      </c>
      <c r="P294" s="19">
        <f>IF($F294&lt;&gt;"OK","",M294/1000000*((1-O294)*UsdM_Sonnet+O294*UsdM_Opus))</f>
        <v/>
      </c>
      <c r="Q294" s="19">
        <f>IF($F294&lt;&gt;"OK","",N294/1000000*((1-O294)*UsdM_Sonnet+O294*UsdM_Opus))</f>
        <v/>
      </c>
      <c r="R294" s="19">
        <f>IF($F294&lt;&gt;"OK","",G294*TarifaHora)</f>
        <v/>
      </c>
      <c r="S294" s="19">
        <f>IF($F294&lt;&gt;"OK","",H294*TarifaHora)</f>
        <v/>
      </c>
      <c r="T294" s="10">
        <f>IF($F294&lt;&gt;"OK","",IF(COUNTIFS($A$2:$A294,$A294,$F$2:$F294,"OK")=1,MAX($T$1:$T293)+1,""))</f>
        <v/>
      </c>
    </row>
    <row r="295">
      <c r="A295" s="11" t="n"/>
      <c r="B295" s="11" t="n"/>
      <c r="C295" s="11" t="n"/>
      <c r="D295" s="11" t="n"/>
      <c r="E295" s="11" t="n"/>
      <c r="F295" s="10">
        <f>IF(AND($A295="",$B295="",$C295=""),"",IF($A295="","⚠ Falta hito",IF(ISNA(MATCH($C295,Cat_Nombre,0)),"⚠ Categoría inválida","OK")))</f>
        <v/>
      </c>
      <c r="G295" s="16">
        <f>IF($F295&lt;&gt;"OK","",IF(UPPER(TRIM($D295))="NO",INDEX(Cat_HMax,MATCH($C295,Cat_Nombre,0)),INDEX(Cat_HMin,MATCH($C295,Cat_Nombre,0))))</f>
        <v/>
      </c>
      <c r="H295" s="16">
        <f>IF($F295&lt;&gt;"OK","",INDEX(Cat_HMax,MATCH($C295,Cat_Nombre,0)))</f>
        <v/>
      </c>
      <c r="I295" s="16">
        <f>IF($F295&lt;&gt;"OK","",(G295+H295)/2)</f>
        <v/>
      </c>
      <c r="J295" s="16">
        <f>IF($F295&lt;&gt;"OK","",G295/HorasDia)</f>
        <v/>
      </c>
      <c r="K295" s="16">
        <f>IF($F295&lt;&gt;"OK","",I295/HorasDia)</f>
        <v/>
      </c>
      <c r="L295" s="16">
        <f>IF($F295&lt;&gt;"OK","",H295/HorasDia)</f>
        <v/>
      </c>
      <c r="M295" s="17">
        <f>IF($F295&lt;&gt;"OK","",IF(UPPER(TRIM($D295))="NO",INDEX(Cat_TMax,MATCH($C295,Cat_Nombre,0)),INDEX(Cat_TMin,MATCH($C295,Cat_Nombre,0))))</f>
        <v/>
      </c>
      <c r="N295" s="17">
        <f>IF($F295&lt;&gt;"OK","",INDEX(Cat_TMax,MATCH($C295,Cat_Nombre,0)))</f>
        <v/>
      </c>
      <c r="O295" s="18">
        <f>IF($F295&lt;&gt;"OK","",INDEX(Cat_POpus,MATCH($C295,Cat_Nombre,0)))</f>
        <v/>
      </c>
      <c r="P295" s="19">
        <f>IF($F295&lt;&gt;"OK","",M295/1000000*((1-O295)*UsdM_Sonnet+O295*UsdM_Opus))</f>
        <v/>
      </c>
      <c r="Q295" s="19">
        <f>IF($F295&lt;&gt;"OK","",N295/1000000*((1-O295)*UsdM_Sonnet+O295*UsdM_Opus))</f>
        <v/>
      </c>
      <c r="R295" s="19">
        <f>IF($F295&lt;&gt;"OK","",G295*TarifaHora)</f>
        <v/>
      </c>
      <c r="S295" s="19">
        <f>IF($F295&lt;&gt;"OK","",H295*TarifaHora)</f>
        <v/>
      </c>
      <c r="T295" s="10">
        <f>IF($F295&lt;&gt;"OK","",IF(COUNTIFS($A$2:$A295,$A295,$F$2:$F295,"OK")=1,MAX($T$1:$T294)+1,""))</f>
        <v/>
      </c>
    </row>
    <row r="296">
      <c r="A296" s="11" t="n"/>
      <c r="B296" s="11" t="n"/>
      <c r="C296" s="11" t="n"/>
      <c r="D296" s="11" t="n"/>
      <c r="E296" s="11" t="n"/>
      <c r="F296" s="10">
        <f>IF(AND($A296="",$B296="",$C296=""),"",IF($A296="","⚠ Falta hito",IF(ISNA(MATCH($C296,Cat_Nombre,0)),"⚠ Categoría inválida","OK")))</f>
        <v/>
      </c>
      <c r="G296" s="16">
        <f>IF($F296&lt;&gt;"OK","",IF(UPPER(TRIM($D296))="NO",INDEX(Cat_HMax,MATCH($C296,Cat_Nombre,0)),INDEX(Cat_HMin,MATCH($C296,Cat_Nombre,0))))</f>
        <v/>
      </c>
      <c r="H296" s="16">
        <f>IF($F296&lt;&gt;"OK","",INDEX(Cat_HMax,MATCH($C296,Cat_Nombre,0)))</f>
        <v/>
      </c>
      <c r="I296" s="16">
        <f>IF($F296&lt;&gt;"OK","",(G296+H296)/2)</f>
        <v/>
      </c>
      <c r="J296" s="16">
        <f>IF($F296&lt;&gt;"OK","",G296/HorasDia)</f>
        <v/>
      </c>
      <c r="K296" s="16">
        <f>IF($F296&lt;&gt;"OK","",I296/HorasDia)</f>
        <v/>
      </c>
      <c r="L296" s="16">
        <f>IF($F296&lt;&gt;"OK","",H296/HorasDia)</f>
        <v/>
      </c>
      <c r="M296" s="17">
        <f>IF($F296&lt;&gt;"OK","",IF(UPPER(TRIM($D296))="NO",INDEX(Cat_TMax,MATCH($C296,Cat_Nombre,0)),INDEX(Cat_TMin,MATCH($C296,Cat_Nombre,0))))</f>
        <v/>
      </c>
      <c r="N296" s="17">
        <f>IF($F296&lt;&gt;"OK","",INDEX(Cat_TMax,MATCH($C296,Cat_Nombre,0)))</f>
        <v/>
      </c>
      <c r="O296" s="18">
        <f>IF($F296&lt;&gt;"OK","",INDEX(Cat_POpus,MATCH($C296,Cat_Nombre,0)))</f>
        <v/>
      </c>
      <c r="P296" s="19">
        <f>IF($F296&lt;&gt;"OK","",M296/1000000*((1-O296)*UsdM_Sonnet+O296*UsdM_Opus))</f>
        <v/>
      </c>
      <c r="Q296" s="19">
        <f>IF($F296&lt;&gt;"OK","",N296/1000000*((1-O296)*UsdM_Sonnet+O296*UsdM_Opus))</f>
        <v/>
      </c>
      <c r="R296" s="19">
        <f>IF($F296&lt;&gt;"OK","",G296*TarifaHora)</f>
        <v/>
      </c>
      <c r="S296" s="19">
        <f>IF($F296&lt;&gt;"OK","",H296*TarifaHora)</f>
        <v/>
      </c>
      <c r="T296" s="10">
        <f>IF($F296&lt;&gt;"OK","",IF(COUNTIFS($A$2:$A296,$A296,$F$2:$F296,"OK")=1,MAX($T$1:$T295)+1,""))</f>
        <v/>
      </c>
    </row>
    <row r="297">
      <c r="A297" s="11" t="n"/>
      <c r="B297" s="11" t="n"/>
      <c r="C297" s="11" t="n"/>
      <c r="D297" s="11" t="n"/>
      <c r="E297" s="11" t="n"/>
      <c r="F297" s="10">
        <f>IF(AND($A297="",$B297="",$C297=""),"",IF($A297="","⚠ Falta hito",IF(ISNA(MATCH($C297,Cat_Nombre,0)),"⚠ Categoría inválida","OK")))</f>
        <v/>
      </c>
      <c r="G297" s="16">
        <f>IF($F297&lt;&gt;"OK","",IF(UPPER(TRIM($D297))="NO",INDEX(Cat_HMax,MATCH($C297,Cat_Nombre,0)),INDEX(Cat_HMin,MATCH($C297,Cat_Nombre,0))))</f>
        <v/>
      </c>
      <c r="H297" s="16">
        <f>IF($F297&lt;&gt;"OK","",INDEX(Cat_HMax,MATCH($C297,Cat_Nombre,0)))</f>
        <v/>
      </c>
      <c r="I297" s="16">
        <f>IF($F297&lt;&gt;"OK","",(G297+H297)/2)</f>
        <v/>
      </c>
      <c r="J297" s="16">
        <f>IF($F297&lt;&gt;"OK","",G297/HorasDia)</f>
        <v/>
      </c>
      <c r="K297" s="16">
        <f>IF($F297&lt;&gt;"OK","",I297/HorasDia)</f>
        <v/>
      </c>
      <c r="L297" s="16">
        <f>IF($F297&lt;&gt;"OK","",H297/HorasDia)</f>
        <v/>
      </c>
      <c r="M297" s="17">
        <f>IF($F297&lt;&gt;"OK","",IF(UPPER(TRIM($D297))="NO",INDEX(Cat_TMax,MATCH($C297,Cat_Nombre,0)),INDEX(Cat_TMin,MATCH($C297,Cat_Nombre,0))))</f>
        <v/>
      </c>
      <c r="N297" s="17">
        <f>IF($F297&lt;&gt;"OK","",INDEX(Cat_TMax,MATCH($C297,Cat_Nombre,0)))</f>
        <v/>
      </c>
      <c r="O297" s="18">
        <f>IF($F297&lt;&gt;"OK","",INDEX(Cat_POpus,MATCH($C297,Cat_Nombre,0)))</f>
        <v/>
      </c>
      <c r="P297" s="19">
        <f>IF($F297&lt;&gt;"OK","",M297/1000000*((1-O297)*UsdM_Sonnet+O297*UsdM_Opus))</f>
        <v/>
      </c>
      <c r="Q297" s="19">
        <f>IF($F297&lt;&gt;"OK","",N297/1000000*((1-O297)*UsdM_Sonnet+O297*UsdM_Opus))</f>
        <v/>
      </c>
      <c r="R297" s="19">
        <f>IF($F297&lt;&gt;"OK","",G297*TarifaHora)</f>
        <v/>
      </c>
      <c r="S297" s="19">
        <f>IF($F297&lt;&gt;"OK","",H297*TarifaHora)</f>
        <v/>
      </c>
      <c r="T297" s="10">
        <f>IF($F297&lt;&gt;"OK","",IF(COUNTIFS($A$2:$A297,$A297,$F$2:$F297,"OK")=1,MAX($T$1:$T296)+1,""))</f>
        <v/>
      </c>
    </row>
    <row r="298">
      <c r="A298" s="11" t="n"/>
      <c r="B298" s="11" t="n"/>
      <c r="C298" s="11" t="n"/>
      <c r="D298" s="11" t="n"/>
      <c r="E298" s="11" t="n"/>
      <c r="F298" s="10">
        <f>IF(AND($A298="",$B298="",$C298=""),"",IF($A298="","⚠ Falta hito",IF(ISNA(MATCH($C298,Cat_Nombre,0)),"⚠ Categoría inválida","OK")))</f>
        <v/>
      </c>
      <c r="G298" s="16">
        <f>IF($F298&lt;&gt;"OK","",IF(UPPER(TRIM($D298))="NO",INDEX(Cat_HMax,MATCH($C298,Cat_Nombre,0)),INDEX(Cat_HMin,MATCH($C298,Cat_Nombre,0))))</f>
        <v/>
      </c>
      <c r="H298" s="16">
        <f>IF($F298&lt;&gt;"OK","",INDEX(Cat_HMax,MATCH($C298,Cat_Nombre,0)))</f>
        <v/>
      </c>
      <c r="I298" s="16">
        <f>IF($F298&lt;&gt;"OK","",(G298+H298)/2)</f>
        <v/>
      </c>
      <c r="J298" s="16">
        <f>IF($F298&lt;&gt;"OK","",G298/HorasDia)</f>
        <v/>
      </c>
      <c r="K298" s="16">
        <f>IF($F298&lt;&gt;"OK","",I298/HorasDia)</f>
        <v/>
      </c>
      <c r="L298" s="16">
        <f>IF($F298&lt;&gt;"OK","",H298/HorasDia)</f>
        <v/>
      </c>
      <c r="M298" s="17">
        <f>IF($F298&lt;&gt;"OK","",IF(UPPER(TRIM($D298))="NO",INDEX(Cat_TMax,MATCH($C298,Cat_Nombre,0)),INDEX(Cat_TMin,MATCH($C298,Cat_Nombre,0))))</f>
        <v/>
      </c>
      <c r="N298" s="17">
        <f>IF($F298&lt;&gt;"OK","",INDEX(Cat_TMax,MATCH($C298,Cat_Nombre,0)))</f>
        <v/>
      </c>
      <c r="O298" s="18">
        <f>IF($F298&lt;&gt;"OK","",INDEX(Cat_POpus,MATCH($C298,Cat_Nombre,0)))</f>
        <v/>
      </c>
      <c r="P298" s="19">
        <f>IF($F298&lt;&gt;"OK","",M298/1000000*((1-O298)*UsdM_Sonnet+O298*UsdM_Opus))</f>
        <v/>
      </c>
      <c r="Q298" s="19">
        <f>IF($F298&lt;&gt;"OK","",N298/1000000*((1-O298)*UsdM_Sonnet+O298*UsdM_Opus))</f>
        <v/>
      </c>
      <c r="R298" s="19">
        <f>IF($F298&lt;&gt;"OK","",G298*TarifaHora)</f>
        <v/>
      </c>
      <c r="S298" s="19">
        <f>IF($F298&lt;&gt;"OK","",H298*TarifaHora)</f>
        <v/>
      </c>
      <c r="T298" s="10">
        <f>IF($F298&lt;&gt;"OK","",IF(COUNTIFS($A$2:$A298,$A298,$F$2:$F298,"OK")=1,MAX($T$1:$T297)+1,""))</f>
        <v/>
      </c>
    </row>
    <row r="299">
      <c r="A299" s="11" t="n"/>
      <c r="B299" s="11" t="n"/>
      <c r="C299" s="11" t="n"/>
      <c r="D299" s="11" t="n"/>
      <c r="E299" s="11" t="n"/>
      <c r="F299" s="10">
        <f>IF(AND($A299="",$B299="",$C299=""),"",IF($A299="","⚠ Falta hito",IF(ISNA(MATCH($C299,Cat_Nombre,0)),"⚠ Categoría inválida","OK")))</f>
        <v/>
      </c>
      <c r="G299" s="16">
        <f>IF($F299&lt;&gt;"OK","",IF(UPPER(TRIM($D299))="NO",INDEX(Cat_HMax,MATCH($C299,Cat_Nombre,0)),INDEX(Cat_HMin,MATCH($C299,Cat_Nombre,0))))</f>
        <v/>
      </c>
      <c r="H299" s="16">
        <f>IF($F299&lt;&gt;"OK","",INDEX(Cat_HMax,MATCH($C299,Cat_Nombre,0)))</f>
        <v/>
      </c>
      <c r="I299" s="16">
        <f>IF($F299&lt;&gt;"OK","",(G299+H299)/2)</f>
        <v/>
      </c>
      <c r="J299" s="16">
        <f>IF($F299&lt;&gt;"OK","",G299/HorasDia)</f>
        <v/>
      </c>
      <c r="K299" s="16">
        <f>IF($F299&lt;&gt;"OK","",I299/HorasDia)</f>
        <v/>
      </c>
      <c r="L299" s="16">
        <f>IF($F299&lt;&gt;"OK","",H299/HorasDia)</f>
        <v/>
      </c>
      <c r="M299" s="17">
        <f>IF($F299&lt;&gt;"OK","",IF(UPPER(TRIM($D299))="NO",INDEX(Cat_TMax,MATCH($C299,Cat_Nombre,0)),INDEX(Cat_TMin,MATCH($C299,Cat_Nombre,0))))</f>
        <v/>
      </c>
      <c r="N299" s="17">
        <f>IF($F299&lt;&gt;"OK","",INDEX(Cat_TMax,MATCH($C299,Cat_Nombre,0)))</f>
        <v/>
      </c>
      <c r="O299" s="18">
        <f>IF($F299&lt;&gt;"OK","",INDEX(Cat_POpus,MATCH($C299,Cat_Nombre,0)))</f>
        <v/>
      </c>
      <c r="P299" s="19">
        <f>IF($F299&lt;&gt;"OK","",M299/1000000*((1-O299)*UsdM_Sonnet+O299*UsdM_Opus))</f>
        <v/>
      </c>
      <c r="Q299" s="19">
        <f>IF($F299&lt;&gt;"OK","",N299/1000000*((1-O299)*UsdM_Sonnet+O299*UsdM_Opus))</f>
        <v/>
      </c>
      <c r="R299" s="19">
        <f>IF($F299&lt;&gt;"OK","",G299*TarifaHora)</f>
        <v/>
      </c>
      <c r="S299" s="19">
        <f>IF($F299&lt;&gt;"OK","",H299*TarifaHora)</f>
        <v/>
      </c>
      <c r="T299" s="10">
        <f>IF($F299&lt;&gt;"OK","",IF(COUNTIFS($A$2:$A299,$A299,$F$2:$F299,"OK")=1,MAX($T$1:$T298)+1,""))</f>
        <v/>
      </c>
    </row>
    <row r="300">
      <c r="A300" s="11" t="n"/>
      <c r="B300" s="11" t="n"/>
      <c r="C300" s="11" t="n"/>
      <c r="D300" s="11" t="n"/>
      <c r="E300" s="11" t="n"/>
      <c r="F300" s="10">
        <f>IF(AND($A300="",$B300="",$C300=""),"",IF($A300="","⚠ Falta hito",IF(ISNA(MATCH($C300,Cat_Nombre,0)),"⚠ Categoría inválida","OK")))</f>
        <v/>
      </c>
      <c r="G300" s="16">
        <f>IF($F300&lt;&gt;"OK","",IF(UPPER(TRIM($D300))="NO",INDEX(Cat_HMax,MATCH($C300,Cat_Nombre,0)),INDEX(Cat_HMin,MATCH($C300,Cat_Nombre,0))))</f>
        <v/>
      </c>
      <c r="H300" s="16">
        <f>IF($F300&lt;&gt;"OK","",INDEX(Cat_HMax,MATCH($C300,Cat_Nombre,0)))</f>
        <v/>
      </c>
      <c r="I300" s="16">
        <f>IF($F300&lt;&gt;"OK","",(G300+H300)/2)</f>
        <v/>
      </c>
      <c r="J300" s="16">
        <f>IF($F300&lt;&gt;"OK","",G300/HorasDia)</f>
        <v/>
      </c>
      <c r="K300" s="16">
        <f>IF($F300&lt;&gt;"OK","",I300/HorasDia)</f>
        <v/>
      </c>
      <c r="L300" s="16">
        <f>IF($F300&lt;&gt;"OK","",H300/HorasDia)</f>
        <v/>
      </c>
      <c r="M300" s="17">
        <f>IF($F300&lt;&gt;"OK","",IF(UPPER(TRIM($D300))="NO",INDEX(Cat_TMax,MATCH($C300,Cat_Nombre,0)),INDEX(Cat_TMin,MATCH($C300,Cat_Nombre,0))))</f>
        <v/>
      </c>
      <c r="N300" s="17">
        <f>IF($F300&lt;&gt;"OK","",INDEX(Cat_TMax,MATCH($C300,Cat_Nombre,0)))</f>
        <v/>
      </c>
      <c r="O300" s="18">
        <f>IF($F300&lt;&gt;"OK","",INDEX(Cat_POpus,MATCH($C300,Cat_Nombre,0)))</f>
        <v/>
      </c>
      <c r="P300" s="19">
        <f>IF($F300&lt;&gt;"OK","",M300/1000000*((1-O300)*UsdM_Sonnet+O300*UsdM_Opus))</f>
        <v/>
      </c>
      <c r="Q300" s="19">
        <f>IF($F300&lt;&gt;"OK","",N300/1000000*((1-O300)*UsdM_Sonnet+O300*UsdM_Opus))</f>
        <v/>
      </c>
      <c r="R300" s="19">
        <f>IF($F300&lt;&gt;"OK","",G300*TarifaHora)</f>
        <v/>
      </c>
      <c r="S300" s="19">
        <f>IF($F300&lt;&gt;"OK","",H300*TarifaHora)</f>
        <v/>
      </c>
      <c r="T300" s="10">
        <f>IF($F300&lt;&gt;"OK","",IF(COUNTIFS($A$2:$A300,$A300,$F$2:$F300,"OK")=1,MAX($T$1:$T299)+1,""))</f>
        <v/>
      </c>
    </row>
    <row r="301">
      <c r="A301" s="11" t="n"/>
      <c r="B301" s="11" t="n"/>
      <c r="C301" s="11" t="n"/>
      <c r="D301" s="11" t="n"/>
      <c r="E301" s="11" t="n"/>
      <c r="F301" s="10">
        <f>IF(AND($A301="",$B301="",$C301=""),"",IF($A301="","⚠ Falta hito",IF(ISNA(MATCH($C301,Cat_Nombre,0)),"⚠ Categoría inválida","OK")))</f>
        <v/>
      </c>
      <c r="G301" s="16">
        <f>IF($F301&lt;&gt;"OK","",IF(UPPER(TRIM($D301))="NO",INDEX(Cat_HMax,MATCH($C301,Cat_Nombre,0)),INDEX(Cat_HMin,MATCH($C301,Cat_Nombre,0))))</f>
        <v/>
      </c>
      <c r="H301" s="16">
        <f>IF($F301&lt;&gt;"OK","",INDEX(Cat_HMax,MATCH($C301,Cat_Nombre,0)))</f>
        <v/>
      </c>
      <c r="I301" s="16">
        <f>IF($F301&lt;&gt;"OK","",(G301+H301)/2)</f>
        <v/>
      </c>
      <c r="J301" s="16">
        <f>IF($F301&lt;&gt;"OK","",G301/HorasDia)</f>
        <v/>
      </c>
      <c r="K301" s="16">
        <f>IF($F301&lt;&gt;"OK","",I301/HorasDia)</f>
        <v/>
      </c>
      <c r="L301" s="16">
        <f>IF($F301&lt;&gt;"OK","",H301/HorasDia)</f>
        <v/>
      </c>
      <c r="M301" s="17">
        <f>IF($F301&lt;&gt;"OK","",IF(UPPER(TRIM($D301))="NO",INDEX(Cat_TMax,MATCH($C301,Cat_Nombre,0)),INDEX(Cat_TMin,MATCH($C301,Cat_Nombre,0))))</f>
        <v/>
      </c>
      <c r="N301" s="17">
        <f>IF($F301&lt;&gt;"OK","",INDEX(Cat_TMax,MATCH($C301,Cat_Nombre,0)))</f>
        <v/>
      </c>
      <c r="O301" s="18">
        <f>IF($F301&lt;&gt;"OK","",INDEX(Cat_POpus,MATCH($C301,Cat_Nombre,0)))</f>
        <v/>
      </c>
      <c r="P301" s="19">
        <f>IF($F301&lt;&gt;"OK","",M301/1000000*((1-O301)*UsdM_Sonnet+O301*UsdM_Opus))</f>
        <v/>
      </c>
      <c r="Q301" s="19">
        <f>IF($F301&lt;&gt;"OK","",N301/1000000*((1-O301)*UsdM_Sonnet+O301*UsdM_Opus))</f>
        <v/>
      </c>
      <c r="R301" s="19">
        <f>IF($F301&lt;&gt;"OK","",G301*TarifaHora)</f>
        <v/>
      </c>
      <c r="S301" s="19">
        <f>IF($F301&lt;&gt;"OK","",H301*TarifaHora)</f>
        <v/>
      </c>
      <c r="T301" s="10">
        <f>IF($F301&lt;&gt;"OK","",IF(COUNTIFS($A$2:$A301,$A301,$F$2:$F301,"OK")=1,MAX($T$1:$T300)+1,""))</f>
        <v/>
      </c>
    </row>
    <row r="302">
      <c r="A302" s="11" t="n"/>
      <c r="B302" s="11" t="n"/>
      <c r="C302" s="11" t="n"/>
      <c r="D302" s="11" t="n"/>
      <c r="E302" s="11" t="n"/>
      <c r="F302" s="10">
        <f>IF(AND($A302="",$B302="",$C302=""),"",IF($A302="","⚠ Falta hito",IF(ISNA(MATCH($C302,Cat_Nombre,0)),"⚠ Categoría inválida","OK")))</f>
        <v/>
      </c>
      <c r="G302" s="16">
        <f>IF($F302&lt;&gt;"OK","",IF(UPPER(TRIM($D302))="NO",INDEX(Cat_HMax,MATCH($C302,Cat_Nombre,0)),INDEX(Cat_HMin,MATCH($C302,Cat_Nombre,0))))</f>
        <v/>
      </c>
      <c r="H302" s="16">
        <f>IF($F302&lt;&gt;"OK","",INDEX(Cat_HMax,MATCH($C302,Cat_Nombre,0)))</f>
        <v/>
      </c>
      <c r="I302" s="16">
        <f>IF($F302&lt;&gt;"OK","",(G302+H302)/2)</f>
        <v/>
      </c>
      <c r="J302" s="16">
        <f>IF($F302&lt;&gt;"OK","",G302/HorasDia)</f>
        <v/>
      </c>
      <c r="K302" s="16">
        <f>IF($F302&lt;&gt;"OK","",I302/HorasDia)</f>
        <v/>
      </c>
      <c r="L302" s="16">
        <f>IF($F302&lt;&gt;"OK","",H302/HorasDia)</f>
        <v/>
      </c>
      <c r="M302" s="17">
        <f>IF($F302&lt;&gt;"OK","",IF(UPPER(TRIM($D302))="NO",INDEX(Cat_TMax,MATCH($C302,Cat_Nombre,0)),INDEX(Cat_TMin,MATCH($C302,Cat_Nombre,0))))</f>
        <v/>
      </c>
      <c r="N302" s="17">
        <f>IF($F302&lt;&gt;"OK","",INDEX(Cat_TMax,MATCH($C302,Cat_Nombre,0)))</f>
        <v/>
      </c>
      <c r="O302" s="18">
        <f>IF($F302&lt;&gt;"OK","",INDEX(Cat_POpus,MATCH($C302,Cat_Nombre,0)))</f>
        <v/>
      </c>
      <c r="P302" s="19">
        <f>IF($F302&lt;&gt;"OK","",M302/1000000*((1-O302)*UsdM_Sonnet+O302*UsdM_Opus))</f>
        <v/>
      </c>
      <c r="Q302" s="19">
        <f>IF($F302&lt;&gt;"OK","",N302/1000000*((1-O302)*UsdM_Sonnet+O302*UsdM_Opus))</f>
        <v/>
      </c>
      <c r="R302" s="19">
        <f>IF($F302&lt;&gt;"OK","",G302*TarifaHora)</f>
        <v/>
      </c>
      <c r="S302" s="19">
        <f>IF($F302&lt;&gt;"OK","",H302*TarifaHora)</f>
        <v/>
      </c>
      <c r="T302" s="10">
        <f>IF($F302&lt;&gt;"OK","",IF(COUNTIFS($A$2:$A302,$A302,$F$2:$F302,"OK")=1,MAX($T$1:$T301)+1,""))</f>
        <v/>
      </c>
    </row>
    <row r="303">
      <c r="A303" s="11" t="n"/>
      <c r="B303" s="11" t="n"/>
      <c r="C303" s="11" t="n"/>
      <c r="D303" s="11" t="n"/>
      <c r="E303" s="11" t="n"/>
      <c r="F303" s="10">
        <f>IF(AND($A303="",$B303="",$C303=""),"",IF($A303="","⚠ Falta hito",IF(ISNA(MATCH($C303,Cat_Nombre,0)),"⚠ Categoría inválida","OK")))</f>
        <v/>
      </c>
      <c r="G303" s="16">
        <f>IF($F303&lt;&gt;"OK","",IF(UPPER(TRIM($D303))="NO",INDEX(Cat_HMax,MATCH($C303,Cat_Nombre,0)),INDEX(Cat_HMin,MATCH($C303,Cat_Nombre,0))))</f>
        <v/>
      </c>
      <c r="H303" s="16">
        <f>IF($F303&lt;&gt;"OK","",INDEX(Cat_HMax,MATCH($C303,Cat_Nombre,0)))</f>
        <v/>
      </c>
      <c r="I303" s="16">
        <f>IF($F303&lt;&gt;"OK","",(G303+H303)/2)</f>
        <v/>
      </c>
      <c r="J303" s="16">
        <f>IF($F303&lt;&gt;"OK","",G303/HorasDia)</f>
        <v/>
      </c>
      <c r="K303" s="16">
        <f>IF($F303&lt;&gt;"OK","",I303/HorasDia)</f>
        <v/>
      </c>
      <c r="L303" s="16">
        <f>IF($F303&lt;&gt;"OK","",H303/HorasDia)</f>
        <v/>
      </c>
      <c r="M303" s="17">
        <f>IF($F303&lt;&gt;"OK","",IF(UPPER(TRIM($D303))="NO",INDEX(Cat_TMax,MATCH($C303,Cat_Nombre,0)),INDEX(Cat_TMin,MATCH($C303,Cat_Nombre,0))))</f>
        <v/>
      </c>
      <c r="N303" s="17">
        <f>IF($F303&lt;&gt;"OK","",INDEX(Cat_TMax,MATCH($C303,Cat_Nombre,0)))</f>
        <v/>
      </c>
      <c r="O303" s="18">
        <f>IF($F303&lt;&gt;"OK","",INDEX(Cat_POpus,MATCH($C303,Cat_Nombre,0)))</f>
        <v/>
      </c>
      <c r="P303" s="19">
        <f>IF($F303&lt;&gt;"OK","",M303/1000000*((1-O303)*UsdM_Sonnet+O303*UsdM_Opus))</f>
        <v/>
      </c>
      <c r="Q303" s="19">
        <f>IF($F303&lt;&gt;"OK","",N303/1000000*((1-O303)*UsdM_Sonnet+O303*UsdM_Opus))</f>
        <v/>
      </c>
      <c r="R303" s="19">
        <f>IF($F303&lt;&gt;"OK","",G303*TarifaHora)</f>
        <v/>
      </c>
      <c r="S303" s="19">
        <f>IF($F303&lt;&gt;"OK","",H303*TarifaHora)</f>
        <v/>
      </c>
      <c r="T303" s="10">
        <f>IF($F303&lt;&gt;"OK","",IF(COUNTIFS($A$2:$A303,$A303,$F$2:$F303,"OK")=1,MAX($T$1:$T302)+1,""))</f>
        <v/>
      </c>
    </row>
    <row r="304">
      <c r="A304" s="11" t="n"/>
      <c r="B304" s="11" t="n"/>
      <c r="C304" s="11" t="n"/>
      <c r="D304" s="11" t="n"/>
      <c r="E304" s="11" t="n"/>
      <c r="F304" s="10">
        <f>IF(AND($A304="",$B304="",$C304=""),"",IF($A304="","⚠ Falta hito",IF(ISNA(MATCH($C304,Cat_Nombre,0)),"⚠ Categoría inválida","OK")))</f>
        <v/>
      </c>
      <c r="G304" s="16">
        <f>IF($F304&lt;&gt;"OK","",IF(UPPER(TRIM($D304))="NO",INDEX(Cat_HMax,MATCH($C304,Cat_Nombre,0)),INDEX(Cat_HMin,MATCH($C304,Cat_Nombre,0))))</f>
        <v/>
      </c>
      <c r="H304" s="16">
        <f>IF($F304&lt;&gt;"OK","",INDEX(Cat_HMax,MATCH($C304,Cat_Nombre,0)))</f>
        <v/>
      </c>
      <c r="I304" s="16">
        <f>IF($F304&lt;&gt;"OK","",(G304+H304)/2)</f>
        <v/>
      </c>
      <c r="J304" s="16">
        <f>IF($F304&lt;&gt;"OK","",G304/HorasDia)</f>
        <v/>
      </c>
      <c r="K304" s="16">
        <f>IF($F304&lt;&gt;"OK","",I304/HorasDia)</f>
        <v/>
      </c>
      <c r="L304" s="16">
        <f>IF($F304&lt;&gt;"OK","",H304/HorasDia)</f>
        <v/>
      </c>
      <c r="M304" s="17">
        <f>IF($F304&lt;&gt;"OK","",IF(UPPER(TRIM($D304))="NO",INDEX(Cat_TMax,MATCH($C304,Cat_Nombre,0)),INDEX(Cat_TMin,MATCH($C304,Cat_Nombre,0))))</f>
        <v/>
      </c>
      <c r="N304" s="17">
        <f>IF($F304&lt;&gt;"OK","",INDEX(Cat_TMax,MATCH($C304,Cat_Nombre,0)))</f>
        <v/>
      </c>
      <c r="O304" s="18">
        <f>IF($F304&lt;&gt;"OK","",INDEX(Cat_POpus,MATCH($C304,Cat_Nombre,0)))</f>
        <v/>
      </c>
      <c r="P304" s="19">
        <f>IF($F304&lt;&gt;"OK","",M304/1000000*((1-O304)*UsdM_Sonnet+O304*UsdM_Opus))</f>
        <v/>
      </c>
      <c r="Q304" s="19">
        <f>IF($F304&lt;&gt;"OK","",N304/1000000*((1-O304)*UsdM_Sonnet+O304*UsdM_Opus))</f>
        <v/>
      </c>
      <c r="R304" s="19">
        <f>IF($F304&lt;&gt;"OK","",G304*TarifaHora)</f>
        <v/>
      </c>
      <c r="S304" s="19">
        <f>IF($F304&lt;&gt;"OK","",H304*TarifaHora)</f>
        <v/>
      </c>
      <c r="T304" s="10">
        <f>IF($F304&lt;&gt;"OK","",IF(COUNTIFS($A$2:$A304,$A304,$F$2:$F304,"OK")=1,MAX($T$1:$T303)+1,""))</f>
        <v/>
      </c>
    </row>
    <row r="305">
      <c r="A305" s="11" t="n"/>
      <c r="B305" s="11" t="n"/>
      <c r="C305" s="11" t="n"/>
      <c r="D305" s="11" t="n"/>
      <c r="E305" s="11" t="n"/>
      <c r="F305" s="10">
        <f>IF(AND($A305="",$B305="",$C305=""),"",IF($A305="","⚠ Falta hito",IF(ISNA(MATCH($C305,Cat_Nombre,0)),"⚠ Categoría inválida","OK")))</f>
        <v/>
      </c>
      <c r="G305" s="16">
        <f>IF($F305&lt;&gt;"OK","",IF(UPPER(TRIM($D305))="NO",INDEX(Cat_HMax,MATCH($C305,Cat_Nombre,0)),INDEX(Cat_HMin,MATCH($C305,Cat_Nombre,0))))</f>
        <v/>
      </c>
      <c r="H305" s="16">
        <f>IF($F305&lt;&gt;"OK","",INDEX(Cat_HMax,MATCH($C305,Cat_Nombre,0)))</f>
        <v/>
      </c>
      <c r="I305" s="16">
        <f>IF($F305&lt;&gt;"OK","",(G305+H305)/2)</f>
        <v/>
      </c>
      <c r="J305" s="16">
        <f>IF($F305&lt;&gt;"OK","",G305/HorasDia)</f>
        <v/>
      </c>
      <c r="K305" s="16">
        <f>IF($F305&lt;&gt;"OK","",I305/HorasDia)</f>
        <v/>
      </c>
      <c r="L305" s="16">
        <f>IF($F305&lt;&gt;"OK","",H305/HorasDia)</f>
        <v/>
      </c>
      <c r="M305" s="17">
        <f>IF($F305&lt;&gt;"OK","",IF(UPPER(TRIM($D305))="NO",INDEX(Cat_TMax,MATCH($C305,Cat_Nombre,0)),INDEX(Cat_TMin,MATCH($C305,Cat_Nombre,0))))</f>
        <v/>
      </c>
      <c r="N305" s="17">
        <f>IF($F305&lt;&gt;"OK","",INDEX(Cat_TMax,MATCH($C305,Cat_Nombre,0)))</f>
        <v/>
      </c>
      <c r="O305" s="18">
        <f>IF($F305&lt;&gt;"OK","",INDEX(Cat_POpus,MATCH($C305,Cat_Nombre,0)))</f>
        <v/>
      </c>
      <c r="P305" s="19">
        <f>IF($F305&lt;&gt;"OK","",M305/1000000*((1-O305)*UsdM_Sonnet+O305*UsdM_Opus))</f>
        <v/>
      </c>
      <c r="Q305" s="19">
        <f>IF($F305&lt;&gt;"OK","",N305/1000000*((1-O305)*UsdM_Sonnet+O305*UsdM_Opus))</f>
        <v/>
      </c>
      <c r="R305" s="19">
        <f>IF($F305&lt;&gt;"OK","",G305*TarifaHora)</f>
        <v/>
      </c>
      <c r="S305" s="19">
        <f>IF($F305&lt;&gt;"OK","",H305*TarifaHora)</f>
        <v/>
      </c>
      <c r="T305" s="10">
        <f>IF($F305&lt;&gt;"OK","",IF(COUNTIFS($A$2:$A305,$A305,$F$2:$F305,"OK")=1,MAX($T$1:$T304)+1,""))</f>
        <v/>
      </c>
    </row>
    <row r="306">
      <c r="A306" s="11" t="n"/>
      <c r="B306" s="11" t="n"/>
      <c r="C306" s="11" t="n"/>
      <c r="D306" s="11" t="n"/>
      <c r="E306" s="11" t="n"/>
      <c r="F306" s="10">
        <f>IF(AND($A306="",$B306="",$C306=""),"",IF($A306="","⚠ Falta hito",IF(ISNA(MATCH($C306,Cat_Nombre,0)),"⚠ Categoría inválida","OK")))</f>
        <v/>
      </c>
      <c r="G306" s="16">
        <f>IF($F306&lt;&gt;"OK","",IF(UPPER(TRIM($D306))="NO",INDEX(Cat_HMax,MATCH($C306,Cat_Nombre,0)),INDEX(Cat_HMin,MATCH($C306,Cat_Nombre,0))))</f>
        <v/>
      </c>
      <c r="H306" s="16">
        <f>IF($F306&lt;&gt;"OK","",INDEX(Cat_HMax,MATCH($C306,Cat_Nombre,0)))</f>
        <v/>
      </c>
      <c r="I306" s="16">
        <f>IF($F306&lt;&gt;"OK","",(G306+H306)/2)</f>
        <v/>
      </c>
      <c r="J306" s="16">
        <f>IF($F306&lt;&gt;"OK","",G306/HorasDia)</f>
        <v/>
      </c>
      <c r="K306" s="16">
        <f>IF($F306&lt;&gt;"OK","",I306/HorasDia)</f>
        <v/>
      </c>
      <c r="L306" s="16">
        <f>IF($F306&lt;&gt;"OK","",H306/HorasDia)</f>
        <v/>
      </c>
      <c r="M306" s="17">
        <f>IF($F306&lt;&gt;"OK","",IF(UPPER(TRIM($D306))="NO",INDEX(Cat_TMax,MATCH($C306,Cat_Nombre,0)),INDEX(Cat_TMin,MATCH($C306,Cat_Nombre,0))))</f>
        <v/>
      </c>
      <c r="N306" s="17">
        <f>IF($F306&lt;&gt;"OK","",INDEX(Cat_TMax,MATCH($C306,Cat_Nombre,0)))</f>
        <v/>
      </c>
      <c r="O306" s="18">
        <f>IF($F306&lt;&gt;"OK","",INDEX(Cat_POpus,MATCH($C306,Cat_Nombre,0)))</f>
        <v/>
      </c>
      <c r="P306" s="19">
        <f>IF($F306&lt;&gt;"OK","",M306/1000000*((1-O306)*UsdM_Sonnet+O306*UsdM_Opus))</f>
        <v/>
      </c>
      <c r="Q306" s="19">
        <f>IF($F306&lt;&gt;"OK","",N306/1000000*((1-O306)*UsdM_Sonnet+O306*UsdM_Opus))</f>
        <v/>
      </c>
      <c r="R306" s="19">
        <f>IF($F306&lt;&gt;"OK","",G306*TarifaHora)</f>
        <v/>
      </c>
      <c r="S306" s="19">
        <f>IF($F306&lt;&gt;"OK","",H306*TarifaHora)</f>
        <v/>
      </c>
      <c r="T306" s="10">
        <f>IF($F306&lt;&gt;"OK","",IF(COUNTIFS($A$2:$A306,$A306,$F$2:$F306,"OK")=1,MAX($T$1:$T305)+1,""))</f>
        <v/>
      </c>
    </row>
    <row r="307">
      <c r="A307" s="11" t="n"/>
      <c r="B307" s="11" t="n"/>
      <c r="C307" s="11" t="n"/>
      <c r="D307" s="11" t="n"/>
      <c r="E307" s="11" t="n"/>
      <c r="F307" s="10">
        <f>IF(AND($A307="",$B307="",$C307=""),"",IF($A307="","⚠ Falta hito",IF(ISNA(MATCH($C307,Cat_Nombre,0)),"⚠ Categoría inválida","OK")))</f>
        <v/>
      </c>
      <c r="G307" s="16">
        <f>IF($F307&lt;&gt;"OK","",IF(UPPER(TRIM($D307))="NO",INDEX(Cat_HMax,MATCH($C307,Cat_Nombre,0)),INDEX(Cat_HMin,MATCH($C307,Cat_Nombre,0))))</f>
        <v/>
      </c>
      <c r="H307" s="16">
        <f>IF($F307&lt;&gt;"OK","",INDEX(Cat_HMax,MATCH($C307,Cat_Nombre,0)))</f>
        <v/>
      </c>
      <c r="I307" s="16">
        <f>IF($F307&lt;&gt;"OK","",(G307+H307)/2)</f>
        <v/>
      </c>
      <c r="J307" s="16">
        <f>IF($F307&lt;&gt;"OK","",G307/HorasDia)</f>
        <v/>
      </c>
      <c r="K307" s="16">
        <f>IF($F307&lt;&gt;"OK","",I307/HorasDia)</f>
        <v/>
      </c>
      <c r="L307" s="16">
        <f>IF($F307&lt;&gt;"OK","",H307/HorasDia)</f>
        <v/>
      </c>
      <c r="M307" s="17">
        <f>IF($F307&lt;&gt;"OK","",IF(UPPER(TRIM($D307))="NO",INDEX(Cat_TMax,MATCH($C307,Cat_Nombre,0)),INDEX(Cat_TMin,MATCH($C307,Cat_Nombre,0))))</f>
        <v/>
      </c>
      <c r="N307" s="17">
        <f>IF($F307&lt;&gt;"OK","",INDEX(Cat_TMax,MATCH($C307,Cat_Nombre,0)))</f>
        <v/>
      </c>
      <c r="O307" s="18">
        <f>IF($F307&lt;&gt;"OK","",INDEX(Cat_POpus,MATCH($C307,Cat_Nombre,0)))</f>
        <v/>
      </c>
      <c r="P307" s="19">
        <f>IF($F307&lt;&gt;"OK","",M307/1000000*((1-O307)*UsdM_Sonnet+O307*UsdM_Opus))</f>
        <v/>
      </c>
      <c r="Q307" s="19">
        <f>IF($F307&lt;&gt;"OK","",N307/1000000*((1-O307)*UsdM_Sonnet+O307*UsdM_Opus))</f>
        <v/>
      </c>
      <c r="R307" s="19">
        <f>IF($F307&lt;&gt;"OK","",G307*TarifaHora)</f>
        <v/>
      </c>
      <c r="S307" s="19">
        <f>IF($F307&lt;&gt;"OK","",H307*TarifaHora)</f>
        <v/>
      </c>
      <c r="T307" s="10">
        <f>IF($F307&lt;&gt;"OK","",IF(COUNTIFS($A$2:$A307,$A307,$F$2:$F307,"OK")=1,MAX($T$1:$T306)+1,""))</f>
        <v/>
      </c>
    </row>
    <row r="308">
      <c r="A308" s="11" t="n"/>
      <c r="B308" s="11" t="n"/>
      <c r="C308" s="11" t="n"/>
      <c r="D308" s="11" t="n"/>
      <c r="E308" s="11" t="n"/>
      <c r="F308" s="10">
        <f>IF(AND($A308="",$B308="",$C308=""),"",IF($A308="","⚠ Falta hito",IF(ISNA(MATCH($C308,Cat_Nombre,0)),"⚠ Categoría inválida","OK")))</f>
        <v/>
      </c>
      <c r="G308" s="16">
        <f>IF($F308&lt;&gt;"OK","",IF(UPPER(TRIM($D308))="NO",INDEX(Cat_HMax,MATCH($C308,Cat_Nombre,0)),INDEX(Cat_HMin,MATCH($C308,Cat_Nombre,0))))</f>
        <v/>
      </c>
      <c r="H308" s="16">
        <f>IF($F308&lt;&gt;"OK","",INDEX(Cat_HMax,MATCH($C308,Cat_Nombre,0)))</f>
        <v/>
      </c>
      <c r="I308" s="16">
        <f>IF($F308&lt;&gt;"OK","",(G308+H308)/2)</f>
        <v/>
      </c>
      <c r="J308" s="16">
        <f>IF($F308&lt;&gt;"OK","",G308/HorasDia)</f>
        <v/>
      </c>
      <c r="K308" s="16">
        <f>IF($F308&lt;&gt;"OK","",I308/HorasDia)</f>
        <v/>
      </c>
      <c r="L308" s="16">
        <f>IF($F308&lt;&gt;"OK","",H308/HorasDia)</f>
        <v/>
      </c>
      <c r="M308" s="17">
        <f>IF($F308&lt;&gt;"OK","",IF(UPPER(TRIM($D308))="NO",INDEX(Cat_TMax,MATCH($C308,Cat_Nombre,0)),INDEX(Cat_TMin,MATCH($C308,Cat_Nombre,0))))</f>
        <v/>
      </c>
      <c r="N308" s="17">
        <f>IF($F308&lt;&gt;"OK","",INDEX(Cat_TMax,MATCH($C308,Cat_Nombre,0)))</f>
        <v/>
      </c>
      <c r="O308" s="18">
        <f>IF($F308&lt;&gt;"OK","",INDEX(Cat_POpus,MATCH($C308,Cat_Nombre,0)))</f>
        <v/>
      </c>
      <c r="P308" s="19">
        <f>IF($F308&lt;&gt;"OK","",M308/1000000*((1-O308)*UsdM_Sonnet+O308*UsdM_Opus))</f>
        <v/>
      </c>
      <c r="Q308" s="19">
        <f>IF($F308&lt;&gt;"OK","",N308/1000000*((1-O308)*UsdM_Sonnet+O308*UsdM_Opus))</f>
        <v/>
      </c>
      <c r="R308" s="19">
        <f>IF($F308&lt;&gt;"OK","",G308*TarifaHora)</f>
        <v/>
      </c>
      <c r="S308" s="19">
        <f>IF($F308&lt;&gt;"OK","",H308*TarifaHora)</f>
        <v/>
      </c>
      <c r="T308" s="10">
        <f>IF($F308&lt;&gt;"OK","",IF(COUNTIFS($A$2:$A308,$A308,$F$2:$F308,"OK")=1,MAX($T$1:$T307)+1,""))</f>
        <v/>
      </c>
    </row>
    <row r="309">
      <c r="A309" s="11" t="n"/>
      <c r="B309" s="11" t="n"/>
      <c r="C309" s="11" t="n"/>
      <c r="D309" s="11" t="n"/>
      <c r="E309" s="11" t="n"/>
      <c r="F309" s="10">
        <f>IF(AND($A309="",$B309="",$C309=""),"",IF($A309="","⚠ Falta hito",IF(ISNA(MATCH($C309,Cat_Nombre,0)),"⚠ Categoría inválida","OK")))</f>
        <v/>
      </c>
      <c r="G309" s="16">
        <f>IF($F309&lt;&gt;"OK","",IF(UPPER(TRIM($D309))="NO",INDEX(Cat_HMax,MATCH($C309,Cat_Nombre,0)),INDEX(Cat_HMin,MATCH($C309,Cat_Nombre,0))))</f>
        <v/>
      </c>
      <c r="H309" s="16">
        <f>IF($F309&lt;&gt;"OK","",INDEX(Cat_HMax,MATCH($C309,Cat_Nombre,0)))</f>
        <v/>
      </c>
      <c r="I309" s="16">
        <f>IF($F309&lt;&gt;"OK","",(G309+H309)/2)</f>
        <v/>
      </c>
      <c r="J309" s="16">
        <f>IF($F309&lt;&gt;"OK","",G309/HorasDia)</f>
        <v/>
      </c>
      <c r="K309" s="16">
        <f>IF($F309&lt;&gt;"OK","",I309/HorasDia)</f>
        <v/>
      </c>
      <c r="L309" s="16">
        <f>IF($F309&lt;&gt;"OK","",H309/HorasDia)</f>
        <v/>
      </c>
      <c r="M309" s="17">
        <f>IF($F309&lt;&gt;"OK","",IF(UPPER(TRIM($D309))="NO",INDEX(Cat_TMax,MATCH($C309,Cat_Nombre,0)),INDEX(Cat_TMin,MATCH($C309,Cat_Nombre,0))))</f>
        <v/>
      </c>
      <c r="N309" s="17">
        <f>IF($F309&lt;&gt;"OK","",INDEX(Cat_TMax,MATCH($C309,Cat_Nombre,0)))</f>
        <v/>
      </c>
      <c r="O309" s="18">
        <f>IF($F309&lt;&gt;"OK","",INDEX(Cat_POpus,MATCH($C309,Cat_Nombre,0)))</f>
        <v/>
      </c>
      <c r="P309" s="19">
        <f>IF($F309&lt;&gt;"OK","",M309/1000000*((1-O309)*UsdM_Sonnet+O309*UsdM_Opus))</f>
        <v/>
      </c>
      <c r="Q309" s="19">
        <f>IF($F309&lt;&gt;"OK","",N309/1000000*((1-O309)*UsdM_Sonnet+O309*UsdM_Opus))</f>
        <v/>
      </c>
      <c r="R309" s="19">
        <f>IF($F309&lt;&gt;"OK","",G309*TarifaHora)</f>
        <v/>
      </c>
      <c r="S309" s="19">
        <f>IF($F309&lt;&gt;"OK","",H309*TarifaHora)</f>
        <v/>
      </c>
      <c r="T309" s="10">
        <f>IF($F309&lt;&gt;"OK","",IF(COUNTIFS($A$2:$A309,$A309,$F$2:$F309,"OK")=1,MAX($T$1:$T308)+1,""))</f>
        <v/>
      </c>
    </row>
    <row r="310">
      <c r="A310" s="11" t="n"/>
      <c r="B310" s="11" t="n"/>
      <c r="C310" s="11" t="n"/>
      <c r="D310" s="11" t="n"/>
      <c r="E310" s="11" t="n"/>
      <c r="F310" s="10">
        <f>IF(AND($A310="",$B310="",$C310=""),"",IF($A310="","⚠ Falta hito",IF(ISNA(MATCH($C310,Cat_Nombre,0)),"⚠ Categoría inválida","OK")))</f>
        <v/>
      </c>
      <c r="G310" s="16">
        <f>IF($F310&lt;&gt;"OK","",IF(UPPER(TRIM($D310))="NO",INDEX(Cat_HMax,MATCH($C310,Cat_Nombre,0)),INDEX(Cat_HMin,MATCH($C310,Cat_Nombre,0))))</f>
        <v/>
      </c>
      <c r="H310" s="16">
        <f>IF($F310&lt;&gt;"OK","",INDEX(Cat_HMax,MATCH($C310,Cat_Nombre,0)))</f>
        <v/>
      </c>
      <c r="I310" s="16">
        <f>IF($F310&lt;&gt;"OK","",(G310+H310)/2)</f>
        <v/>
      </c>
      <c r="J310" s="16">
        <f>IF($F310&lt;&gt;"OK","",G310/HorasDia)</f>
        <v/>
      </c>
      <c r="K310" s="16">
        <f>IF($F310&lt;&gt;"OK","",I310/HorasDia)</f>
        <v/>
      </c>
      <c r="L310" s="16">
        <f>IF($F310&lt;&gt;"OK","",H310/HorasDia)</f>
        <v/>
      </c>
      <c r="M310" s="17">
        <f>IF($F310&lt;&gt;"OK","",IF(UPPER(TRIM($D310))="NO",INDEX(Cat_TMax,MATCH($C310,Cat_Nombre,0)),INDEX(Cat_TMin,MATCH($C310,Cat_Nombre,0))))</f>
        <v/>
      </c>
      <c r="N310" s="17">
        <f>IF($F310&lt;&gt;"OK","",INDEX(Cat_TMax,MATCH($C310,Cat_Nombre,0)))</f>
        <v/>
      </c>
      <c r="O310" s="18">
        <f>IF($F310&lt;&gt;"OK","",INDEX(Cat_POpus,MATCH($C310,Cat_Nombre,0)))</f>
        <v/>
      </c>
      <c r="P310" s="19">
        <f>IF($F310&lt;&gt;"OK","",M310/1000000*((1-O310)*UsdM_Sonnet+O310*UsdM_Opus))</f>
        <v/>
      </c>
      <c r="Q310" s="19">
        <f>IF($F310&lt;&gt;"OK","",N310/1000000*((1-O310)*UsdM_Sonnet+O310*UsdM_Opus))</f>
        <v/>
      </c>
      <c r="R310" s="19">
        <f>IF($F310&lt;&gt;"OK","",G310*TarifaHora)</f>
        <v/>
      </c>
      <c r="S310" s="19">
        <f>IF($F310&lt;&gt;"OK","",H310*TarifaHora)</f>
        <v/>
      </c>
      <c r="T310" s="10">
        <f>IF($F310&lt;&gt;"OK","",IF(COUNTIFS($A$2:$A310,$A310,$F$2:$F310,"OK")=1,MAX($T$1:$T309)+1,""))</f>
        <v/>
      </c>
    </row>
    <row r="311">
      <c r="A311" s="11" t="n"/>
      <c r="B311" s="11" t="n"/>
      <c r="C311" s="11" t="n"/>
      <c r="D311" s="11" t="n"/>
      <c r="E311" s="11" t="n"/>
      <c r="F311" s="10">
        <f>IF(AND($A311="",$B311="",$C311=""),"",IF($A311="","⚠ Falta hito",IF(ISNA(MATCH($C311,Cat_Nombre,0)),"⚠ Categoría inválida","OK")))</f>
        <v/>
      </c>
      <c r="G311" s="16">
        <f>IF($F311&lt;&gt;"OK","",IF(UPPER(TRIM($D311))="NO",INDEX(Cat_HMax,MATCH($C311,Cat_Nombre,0)),INDEX(Cat_HMin,MATCH($C311,Cat_Nombre,0))))</f>
        <v/>
      </c>
      <c r="H311" s="16">
        <f>IF($F311&lt;&gt;"OK","",INDEX(Cat_HMax,MATCH($C311,Cat_Nombre,0)))</f>
        <v/>
      </c>
      <c r="I311" s="16">
        <f>IF($F311&lt;&gt;"OK","",(G311+H311)/2)</f>
        <v/>
      </c>
      <c r="J311" s="16">
        <f>IF($F311&lt;&gt;"OK","",G311/HorasDia)</f>
        <v/>
      </c>
      <c r="K311" s="16">
        <f>IF($F311&lt;&gt;"OK","",I311/HorasDia)</f>
        <v/>
      </c>
      <c r="L311" s="16">
        <f>IF($F311&lt;&gt;"OK","",H311/HorasDia)</f>
        <v/>
      </c>
      <c r="M311" s="17">
        <f>IF($F311&lt;&gt;"OK","",IF(UPPER(TRIM($D311))="NO",INDEX(Cat_TMax,MATCH($C311,Cat_Nombre,0)),INDEX(Cat_TMin,MATCH($C311,Cat_Nombre,0))))</f>
        <v/>
      </c>
      <c r="N311" s="17">
        <f>IF($F311&lt;&gt;"OK","",INDEX(Cat_TMax,MATCH($C311,Cat_Nombre,0)))</f>
        <v/>
      </c>
      <c r="O311" s="18">
        <f>IF($F311&lt;&gt;"OK","",INDEX(Cat_POpus,MATCH($C311,Cat_Nombre,0)))</f>
        <v/>
      </c>
      <c r="P311" s="19">
        <f>IF($F311&lt;&gt;"OK","",M311/1000000*((1-O311)*UsdM_Sonnet+O311*UsdM_Opus))</f>
        <v/>
      </c>
      <c r="Q311" s="19">
        <f>IF($F311&lt;&gt;"OK","",N311/1000000*((1-O311)*UsdM_Sonnet+O311*UsdM_Opus))</f>
        <v/>
      </c>
      <c r="R311" s="19">
        <f>IF($F311&lt;&gt;"OK","",G311*TarifaHora)</f>
        <v/>
      </c>
      <c r="S311" s="19">
        <f>IF($F311&lt;&gt;"OK","",H311*TarifaHora)</f>
        <v/>
      </c>
      <c r="T311" s="10">
        <f>IF($F311&lt;&gt;"OK","",IF(COUNTIFS($A$2:$A311,$A311,$F$2:$F311,"OK")=1,MAX($T$1:$T310)+1,""))</f>
        <v/>
      </c>
    </row>
    <row r="312">
      <c r="A312" s="11" t="n"/>
      <c r="B312" s="11" t="n"/>
      <c r="C312" s="11" t="n"/>
      <c r="D312" s="11" t="n"/>
      <c r="E312" s="11" t="n"/>
      <c r="F312" s="10">
        <f>IF(AND($A312="",$B312="",$C312=""),"",IF($A312="","⚠ Falta hito",IF(ISNA(MATCH($C312,Cat_Nombre,0)),"⚠ Categoría inválida","OK")))</f>
        <v/>
      </c>
      <c r="G312" s="16">
        <f>IF($F312&lt;&gt;"OK","",IF(UPPER(TRIM($D312))="NO",INDEX(Cat_HMax,MATCH($C312,Cat_Nombre,0)),INDEX(Cat_HMin,MATCH($C312,Cat_Nombre,0))))</f>
        <v/>
      </c>
      <c r="H312" s="16">
        <f>IF($F312&lt;&gt;"OK","",INDEX(Cat_HMax,MATCH($C312,Cat_Nombre,0)))</f>
        <v/>
      </c>
      <c r="I312" s="16">
        <f>IF($F312&lt;&gt;"OK","",(G312+H312)/2)</f>
        <v/>
      </c>
      <c r="J312" s="16">
        <f>IF($F312&lt;&gt;"OK","",G312/HorasDia)</f>
        <v/>
      </c>
      <c r="K312" s="16">
        <f>IF($F312&lt;&gt;"OK","",I312/HorasDia)</f>
        <v/>
      </c>
      <c r="L312" s="16">
        <f>IF($F312&lt;&gt;"OK","",H312/HorasDia)</f>
        <v/>
      </c>
      <c r="M312" s="17">
        <f>IF($F312&lt;&gt;"OK","",IF(UPPER(TRIM($D312))="NO",INDEX(Cat_TMax,MATCH($C312,Cat_Nombre,0)),INDEX(Cat_TMin,MATCH($C312,Cat_Nombre,0))))</f>
        <v/>
      </c>
      <c r="N312" s="17">
        <f>IF($F312&lt;&gt;"OK","",INDEX(Cat_TMax,MATCH($C312,Cat_Nombre,0)))</f>
        <v/>
      </c>
      <c r="O312" s="18">
        <f>IF($F312&lt;&gt;"OK","",INDEX(Cat_POpus,MATCH($C312,Cat_Nombre,0)))</f>
        <v/>
      </c>
      <c r="P312" s="19">
        <f>IF($F312&lt;&gt;"OK","",M312/1000000*((1-O312)*UsdM_Sonnet+O312*UsdM_Opus))</f>
        <v/>
      </c>
      <c r="Q312" s="19">
        <f>IF($F312&lt;&gt;"OK","",N312/1000000*((1-O312)*UsdM_Sonnet+O312*UsdM_Opus))</f>
        <v/>
      </c>
      <c r="R312" s="19">
        <f>IF($F312&lt;&gt;"OK","",G312*TarifaHora)</f>
        <v/>
      </c>
      <c r="S312" s="19">
        <f>IF($F312&lt;&gt;"OK","",H312*TarifaHora)</f>
        <v/>
      </c>
      <c r="T312" s="10">
        <f>IF($F312&lt;&gt;"OK","",IF(COUNTIFS($A$2:$A312,$A312,$F$2:$F312,"OK")=1,MAX($T$1:$T311)+1,""))</f>
        <v/>
      </c>
    </row>
    <row r="313">
      <c r="A313" s="11" t="n"/>
      <c r="B313" s="11" t="n"/>
      <c r="C313" s="11" t="n"/>
      <c r="D313" s="11" t="n"/>
      <c r="E313" s="11" t="n"/>
      <c r="F313" s="10">
        <f>IF(AND($A313="",$B313="",$C313=""),"",IF($A313="","⚠ Falta hito",IF(ISNA(MATCH($C313,Cat_Nombre,0)),"⚠ Categoría inválida","OK")))</f>
        <v/>
      </c>
      <c r="G313" s="16">
        <f>IF($F313&lt;&gt;"OK","",IF(UPPER(TRIM($D313))="NO",INDEX(Cat_HMax,MATCH($C313,Cat_Nombre,0)),INDEX(Cat_HMin,MATCH($C313,Cat_Nombre,0))))</f>
        <v/>
      </c>
      <c r="H313" s="16">
        <f>IF($F313&lt;&gt;"OK","",INDEX(Cat_HMax,MATCH($C313,Cat_Nombre,0)))</f>
        <v/>
      </c>
      <c r="I313" s="16">
        <f>IF($F313&lt;&gt;"OK","",(G313+H313)/2)</f>
        <v/>
      </c>
      <c r="J313" s="16">
        <f>IF($F313&lt;&gt;"OK","",G313/HorasDia)</f>
        <v/>
      </c>
      <c r="K313" s="16">
        <f>IF($F313&lt;&gt;"OK","",I313/HorasDia)</f>
        <v/>
      </c>
      <c r="L313" s="16">
        <f>IF($F313&lt;&gt;"OK","",H313/HorasDia)</f>
        <v/>
      </c>
      <c r="M313" s="17">
        <f>IF($F313&lt;&gt;"OK","",IF(UPPER(TRIM($D313))="NO",INDEX(Cat_TMax,MATCH($C313,Cat_Nombre,0)),INDEX(Cat_TMin,MATCH($C313,Cat_Nombre,0))))</f>
        <v/>
      </c>
      <c r="N313" s="17">
        <f>IF($F313&lt;&gt;"OK","",INDEX(Cat_TMax,MATCH($C313,Cat_Nombre,0)))</f>
        <v/>
      </c>
      <c r="O313" s="18">
        <f>IF($F313&lt;&gt;"OK","",INDEX(Cat_POpus,MATCH($C313,Cat_Nombre,0)))</f>
        <v/>
      </c>
      <c r="P313" s="19">
        <f>IF($F313&lt;&gt;"OK","",M313/1000000*((1-O313)*UsdM_Sonnet+O313*UsdM_Opus))</f>
        <v/>
      </c>
      <c r="Q313" s="19">
        <f>IF($F313&lt;&gt;"OK","",N313/1000000*((1-O313)*UsdM_Sonnet+O313*UsdM_Opus))</f>
        <v/>
      </c>
      <c r="R313" s="19">
        <f>IF($F313&lt;&gt;"OK","",G313*TarifaHora)</f>
        <v/>
      </c>
      <c r="S313" s="19">
        <f>IF($F313&lt;&gt;"OK","",H313*TarifaHora)</f>
        <v/>
      </c>
      <c r="T313" s="10">
        <f>IF($F313&lt;&gt;"OK","",IF(COUNTIFS($A$2:$A313,$A313,$F$2:$F313,"OK")=1,MAX($T$1:$T312)+1,""))</f>
        <v/>
      </c>
    </row>
    <row r="314">
      <c r="A314" s="11" t="n"/>
      <c r="B314" s="11" t="n"/>
      <c r="C314" s="11" t="n"/>
      <c r="D314" s="11" t="n"/>
      <c r="E314" s="11" t="n"/>
      <c r="F314" s="10">
        <f>IF(AND($A314="",$B314="",$C314=""),"",IF($A314="","⚠ Falta hito",IF(ISNA(MATCH($C314,Cat_Nombre,0)),"⚠ Categoría inválida","OK")))</f>
        <v/>
      </c>
      <c r="G314" s="16">
        <f>IF($F314&lt;&gt;"OK","",IF(UPPER(TRIM($D314))="NO",INDEX(Cat_HMax,MATCH($C314,Cat_Nombre,0)),INDEX(Cat_HMin,MATCH($C314,Cat_Nombre,0))))</f>
        <v/>
      </c>
      <c r="H314" s="16">
        <f>IF($F314&lt;&gt;"OK","",INDEX(Cat_HMax,MATCH($C314,Cat_Nombre,0)))</f>
        <v/>
      </c>
      <c r="I314" s="16">
        <f>IF($F314&lt;&gt;"OK","",(G314+H314)/2)</f>
        <v/>
      </c>
      <c r="J314" s="16">
        <f>IF($F314&lt;&gt;"OK","",G314/HorasDia)</f>
        <v/>
      </c>
      <c r="K314" s="16">
        <f>IF($F314&lt;&gt;"OK","",I314/HorasDia)</f>
        <v/>
      </c>
      <c r="L314" s="16">
        <f>IF($F314&lt;&gt;"OK","",H314/HorasDia)</f>
        <v/>
      </c>
      <c r="M314" s="17">
        <f>IF($F314&lt;&gt;"OK","",IF(UPPER(TRIM($D314))="NO",INDEX(Cat_TMax,MATCH($C314,Cat_Nombre,0)),INDEX(Cat_TMin,MATCH($C314,Cat_Nombre,0))))</f>
        <v/>
      </c>
      <c r="N314" s="17">
        <f>IF($F314&lt;&gt;"OK","",INDEX(Cat_TMax,MATCH($C314,Cat_Nombre,0)))</f>
        <v/>
      </c>
      <c r="O314" s="18">
        <f>IF($F314&lt;&gt;"OK","",INDEX(Cat_POpus,MATCH($C314,Cat_Nombre,0)))</f>
        <v/>
      </c>
      <c r="P314" s="19">
        <f>IF($F314&lt;&gt;"OK","",M314/1000000*((1-O314)*UsdM_Sonnet+O314*UsdM_Opus))</f>
        <v/>
      </c>
      <c r="Q314" s="19">
        <f>IF($F314&lt;&gt;"OK","",N314/1000000*((1-O314)*UsdM_Sonnet+O314*UsdM_Opus))</f>
        <v/>
      </c>
      <c r="R314" s="19">
        <f>IF($F314&lt;&gt;"OK","",G314*TarifaHora)</f>
        <v/>
      </c>
      <c r="S314" s="19">
        <f>IF($F314&lt;&gt;"OK","",H314*TarifaHora)</f>
        <v/>
      </c>
      <c r="T314" s="10">
        <f>IF($F314&lt;&gt;"OK","",IF(COUNTIFS($A$2:$A314,$A314,$F$2:$F314,"OK")=1,MAX($T$1:$T313)+1,""))</f>
        <v/>
      </c>
    </row>
    <row r="315">
      <c r="A315" s="11" t="n"/>
      <c r="B315" s="11" t="n"/>
      <c r="C315" s="11" t="n"/>
      <c r="D315" s="11" t="n"/>
      <c r="E315" s="11" t="n"/>
      <c r="F315" s="10">
        <f>IF(AND($A315="",$B315="",$C315=""),"",IF($A315="","⚠ Falta hito",IF(ISNA(MATCH($C315,Cat_Nombre,0)),"⚠ Categoría inválida","OK")))</f>
        <v/>
      </c>
      <c r="G315" s="16">
        <f>IF($F315&lt;&gt;"OK","",IF(UPPER(TRIM($D315))="NO",INDEX(Cat_HMax,MATCH($C315,Cat_Nombre,0)),INDEX(Cat_HMin,MATCH($C315,Cat_Nombre,0))))</f>
        <v/>
      </c>
      <c r="H315" s="16">
        <f>IF($F315&lt;&gt;"OK","",INDEX(Cat_HMax,MATCH($C315,Cat_Nombre,0)))</f>
        <v/>
      </c>
      <c r="I315" s="16">
        <f>IF($F315&lt;&gt;"OK","",(G315+H315)/2)</f>
        <v/>
      </c>
      <c r="J315" s="16">
        <f>IF($F315&lt;&gt;"OK","",G315/HorasDia)</f>
        <v/>
      </c>
      <c r="K315" s="16">
        <f>IF($F315&lt;&gt;"OK","",I315/HorasDia)</f>
        <v/>
      </c>
      <c r="L315" s="16">
        <f>IF($F315&lt;&gt;"OK","",H315/HorasDia)</f>
        <v/>
      </c>
      <c r="M315" s="17">
        <f>IF($F315&lt;&gt;"OK","",IF(UPPER(TRIM($D315))="NO",INDEX(Cat_TMax,MATCH($C315,Cat_Nombre,0)),INDEX(Cat_TMin,MATCH($C315,Cat_Nombre,0))))</f>
        <v/>
      </c>
      <c r="N315" s="17">
        <f>IF($F315&lt;&gt;"OK","",INDEX(Cat_TMax,MATCH($C315,Cat_Nombre,0)))</f>
        <v/>
      </c>
      <c r="O315" s="18">
        <f>IF($F315&lt;&gt;"OK","",INDEX(Cat_POpus,MATCH($C315,Cat_Nombre,0)))</f>
        <v/>
      </c>
      <c r="P315" s="19">
        <f>IF($F315&lt;&gt;"OK","",M315/1000000*((1-O315)*UsdM_Sonnet+O315*UsdM_Opus))</f>
        <v/>
      </c>
      <c r="Q315" s="19">
        <f>IF($F315&lt;&gt;"OK","",N315/1000000*((1-O315)*UsdM_Sonnet+O315*UsdM_Opus))</f>
        <v/>
      </c>
      <c r="R315" s="19">
        <f>IF($F315&lt;&gt;"OK","",G315*TarifaHora)</f>
        <v/>
      </c>
      <c r="S315" s="19">
        <f>IF($F315&lt;&gt;"OK","",H315*TarifaHora)</f>
        <v/>
      </c>
      <c r="T315" s="10">
        <f>IF($F315&lt;&gt;"OK","",IF(COUNTIFS($A$2:$A315,$A315,$F$2:$F315,"OK")=1,MAX($T$1:$T314)+1,""))</f>
        <v/>
      </c>
    </row>
    <row r="316">
      <c r="A316" s="11" t="n"/>
      <c r="B316" s="11" t="n"/>
      <c r="C316" s="11" t="n"/>
      <c r="D316" s="11" t="n"/>
      <c r="E316" s="11" t="n"/>
      <c r="F316" s="10">
        <f>IF(AND($A316="",$B316="",$C316=""),"",IF($A316="","⚠ Falta hito",IF(ISNA(MATCH($C316,Cat_Nombre,0)),"⚠ Categoría inválida","OK")))</f>
        <v/>
      </c>
      <c r="G316" s="16">
        <f>IF($F316&lt;&gt;"OK","",IF(UPPER(TRIM($D316))="NO",INDEX(Cat_HMax,MATCH($C316,Cat_Nombre,0)),INDEX(Cat_HMin,MATCH($C316,Cat_Nombre,0))))</f>
        <v/>
      </c>
      <c r="H316" s="16">
        <f>IF($F316&lt;&gt;"OK","",INDEX(Cat_HMax,MATCH($C316,Cat_Nombre,0)))</f>
        <v/>
      </c>
      <c r="I316" s="16">
        <f>IF($F316&lt;&gt;"OK","",(G316+H316)/2)</f>
        <v/>
      </c>
      <c r="J316" s="16">
        <f>IF($F316&lt;&gt;"OK","",G316/HorasDia)</f>
        <v/>
      </c>
      <c r="K316" s="16">
        <f>IF($F316&lt;&gt;"OK","",I316/HorasDia)</f>
        <v/>
      </c>
      <c r="L316" s="16">
        <f>IF($F316&lt;&gt;"OK","",H316/HorasDia)</f>
        <v/>
      </c>
      <c r="M316" s="17">
        <f>IF($F316&lt;&gt;"OK","",IF(UPPER(TRIM($D316))="NO",INDEX(Cat_TMax,MATCH($C316,Cat_Nombre,0)),INDEX(Cat_TMin,MATCH($C316,Cat_Nombre,0))))</f>
        <v/>
      </c>
      <c r="N316" s="17">
        <f>IF($F316&lt;&gt;"OK","",INDEX(Cat_TMax,MATCH($C316,Cat_Nombre,0)))</f>
        <v/>
      </c>
      <c r="O316" s="18">
        <f>IF($F316&lt;&gt;"OK","",INDEX(Cat_POpus,MATCH($C316,Cat_Nombre,0)))</f>
        <v/>
      </c>
      <c r="P316" s="19">
        <f>IF($F316&lt;&gt;"OK","",M316/1000000*((1-O316)*UsdM_Sonnet+O316*UsdM_Opus))</f>
        <v/>
      </c>
      <c r="Q316" s="19">
        <f>IF($F316&lt;&gt;"OK","",N316/1000000*((1-O316)*UsdM_Sonnet+O316*UsdM_Opus))</f>
        <v/>
      </c>
      <c r="R316" s="19">
        <f>IF($F316&lt;&gt;"OK","",G316*TarifaHora)</f>
        <v/>
      </c>
      <c r="S316" s="19">
        <f>IF($F316&lt;&gt;"OK","",H316*TarifaHora)</f>
        <v/>
      </c>
      <c r="T316" s="10">
        <f>IF($F316&lt;&gt;"OK","",IF(COUNTIFS($A$2:$A316,$A316,$F$2:$F316,"OK")=1,MAX($T$1:$T315)+1,""))</f>
        <v/>
      </c>
    </row>
    <row r="317">
      <c r="A317" s="11" t="n"/>
      <c r="B317" s="11" t="n"/>
      <c r="C317" s="11" t="n"/>
      <c r="D317" s="11" t="n"/>
      <c r="E317" s="11" t="n"/>
      <c r="F317" s="10">
        <f>IF(AND($A317="",$B317="",$C317=""),"",IF($A317="","⚠ Falta hito",IF(ISNA(MATCH($C317,Cat_Nombre,0)),"⚠ Categoría inválida","OK")))</f>
        <v/>
      </c>
      <c r="G317" s="16">
        <f>IF($F317&lt;&gt;"OK","",IF(UPPER(TRIM($D317))="NO",INDEX(Cat_HMax,MATCH($C317,Cat_Nombre,0)),INDEX(Cat_HMin,MATCH($C317,Cat_Nombre,0))))</f>
        <v/>
      </c>
      <c r="H317" s="16">
        <f>IF($F317&lt;&gt;"OK","",INDEX(Cat_HMax,MATCH($C317,Cat_Nombre,0)))</f>
        <v/>
      </c>
      <c r="I317" s="16">
        <f>IF($F317&lt;&gt;"OK","",(G317+H317)/2)</f>
        <v/>
      </c>
      <c r="J317" s="16">
        <f>IF($F317&lt;&gt;"OK","",G317/HorasDia)</f>
        <v/>
      </c>
      <c r="K317" s="16">
        <f>IF($F317&lt;&gt;"OK","",I317/HorasDia)</f>
        <v/>
      </c>
      <c r="L317" s="16">
        <f>IF($F317&lt;&gt;"OK","",H317/HorasDia)</f>
        <v/>
      </c>
      <c r="M317" s="17">
        <f>IF($F317&lt;&gt;"OK","",IF(UPPER(TRIM($D317))="NO",INDEX(Cat_TMax,MATCH($C317,Cat_Nombre,0)),INDEX(Cat_TMin,MATCH($C317,Cat_Nombre,0))))</f>
        <v/>
      </c>
      <c r="N317" s="17">
        <f>IF($F317&lt;&gt;"OK","",INDEX(Cat_TMax,MATCH($C317,Cat_Nombre,0)))</f>
        <v/>
      </c>
      <c r="O317" s="18">
        <f>IF($F317&lt;&gt;"OK","",INDEX(Cat_POpus,MATCH($C317,Cat_Nombre,0)))</f>
        <v/>
      </c>
      <c r="P317" s="19">
        <f>IF($F317&lt;&gt;"OK","",M317/1000000*((1-O317)*UsdM_Sonnet+O317*UsdM_Opus))</f>
        <v/>
      </c>
      <c r="Q317" s="19">
        <f>IF($F317&lt;&gt;"OK","",N317/1000000*((1-O317)*UsdM_Sonnet+O317*UsdM_Opus))</f>
        <v/>
      </c>
      <c r="R317" s="19">
        <f>IF($F317&lt;&gt;"OK","",G317*TarifaHora)</f>
        <v/>
      </c>
      <c r="S317" s="19">
        <f>IF($F317&lt;&gt;"OK","",H317*TarifaHora)</f>
        <v/>
      </c>
      <c r="T317" s="10">
        <f>IF($F317&lt;&gt;"OK","",IF(COUNTIFS($A$2:$A317,$A317,$F$2:$F317,"OK")=1,MAX($T$1:$T316)+1,""))</f>
        <v/>
      </c>
    </row>
    <row r="318">
      <c r="A318" s="11" t="n"/>
      <c r="B318" s="11" t="n"/>
      <c r="C318" s="11" t="n"/>
      <c r="D318" s="11" t="n"/>
      <c r="E318" s="11" t="n"/>
      <c r="F318" s="10">
        <f>IF(AND($A318="",$B318="",$C318=""),"",IF($A318="","⚠ Falta hito",IF(ISNA(MATCH($C318,Cat_Nombre,0)),"⚠ Categoría inválida","OK")))</f>
        <v/>
      </c>
      <c r="G318" s="16">
        <f>IF($F318&lt;&gt;"OK","",IF(UPPER(TRIM($D318))="NO",INDEX(Cat_HMax,MATCH($C318,Cat_Nombre,0)),INDEX(Cat_HMin,MATCH($C318,Cat_Nombre,0))))</f>
        <v/>
      </c>
      <c r="H318" s="16">
        <f>IF($F318&lt;&gt;"OK","",INDEX(Cat_HMax,MATCH($C318,Cat_Nombre,0)))</f>
        <v/>
      </c>
      <c r="I318" s="16">
        <f>IF($F318&lt;&gt;"OK","",(G318+H318)/2)</f>
        <v/>
      </c>
      <c r="J318" s="16">
        <f>IF($F318&lt;&gt;"OK","",G318/HorasDia)</f>
        <v/>
      </c>
      <c r="K318" s="16">
        <f>IF($F318&lt;&gt;"OK","",I318/HorasDia)</f>
        <v/>
      </c>
      <c r="L318" s="16">
        <f>IF($F318&lt;&gt;"OK","",H318/HorasDia)</f>
        <v/>
      </c>
      <c r="M318" s="17">
        <f>IF($F318&lt;&gt;"OK","",IF(UPPER(TRIM($D318))="NO",INDEX(Cat_TMax,MATCH($C318,Cat_Nombre,0)),INDEX(Cat_TMin,MATCH($C318,Cat_Nombre,0))))</f>
        <v/>
      </c>
      <c r="N318" s="17">
        <f>IF($F318&lt;&gt;"OK","",INDEX(Cat_TMax,MATCH($C318,Cat_Nombre,0)))</f>
        <v/>
      </c>
      <c r="O318" s="18">
        <f>IF($F318&lt;&gt;"OK","",INDEX(Cat_POpus,MATCH($C318,Cat_Nombre,0)))</f>
        <v/>
      </c>
      <c r="P318" s="19">
        <f>IF($F318&lt;&gt;"OK","",M318/1000000*((1-O318)*UsdM_Sonnet+O318*UsdM_Opus))</f>
        <v/>
      </c>
      <c r="Q318" s="19">
        <f>IF($F318&lt;&gt;"OK","",N318/1000000*((1-O318)*UsdM_Sonnet+O318*UsdM_Opus))</f>
        <v/>
      </c>
      <c r="R318" s="19">
        <f>IF($F318&lt;&gt;"OK","",G318*TarifaHora)</f>
        <v/>
      </c>
      <c r="S318" s="19">
        <f>IF($F318&lt;&gt;"OK","",H318*TarifaHora)</f>
        <v/>
      </c>
      <c r="T318" s="10">
        <f>IF($F318&lt;&gt;"OK","",IF(COUNTIFS($A$2:$A318,$A318,$F$2:$F318,"OK")=1,MAX($T$1:$T317)+1,""))</f>
        <v/>
      </c>
    </row>
    <row r="319">
      <c r="A319" s="11" t="n"/>
      <c r="B319" s="11" t="n"/>
      <c r="C319" s="11" t="n"/>
      <c r="D319" s="11" t="n"/>
      <c r="E319" s="11" t="n"/>
      <c r="F319" s="10">
        <f>IF(AND($A319="",$B319="",$C319=""),"",IF($A319="","⚠ Falta hito",IF(ISNA(MATCH($C319,Cat_Nombre,0)),"⚠ Categoría inválida","OK")))</f>
        <v/>
      </c>
      <c r="G319" s="16">
        <f>IF($F319&lt;&gt;"OK","",IF(UPPER(TRIM($D319))="NO",INDEX(Cat_HMax,MATCH($C319,Cat_Nombre,0)),INDEX(Cat_HMin,MATCH($C319,Cat_Nombre,0))))</f>
        <v/>
      </c>
      <c r="H319" s="16">
        <f>IF($F319&lt;&gt;"OK","",INDEX(Cat_HMax,MATCH($C319,Cat_Nombre,0)))</f>
        <v/>
      </c>
      <c r="I319" s="16">
        <f>IF($F319&lt;&gt;"OK","",(G319+H319)/2)</f>
        <v/>
      </c>
      <c r="J319" s="16">
        <f>IF($F319&lt;&gt;"OK","",G319/HorasDia)</f>
        <v/>
      </c>
      <c r="K319" s="16">
        <f>IF($F319&lt;&gt;"OK","",I319/HorasDia)</f>
        <v/>
      </c>
      <c r="L319" s="16">
        <f>IF($F319&lt;&gt;"OK","",H319/HorasDia)</f>
        <v/>
      </c>
      <c r="M319" s="17">
        <f>IF($F319&lt;&gt;"OK","",IF(UPPER(TRIM($D319))="NO",INDEX(Cat_TMax,MATCH($C319,Cat_Nombre,0)),INDEX(Cat_TMin,MATCH($C319,Cat_Nombre,0))))</f>
        <v/>
      </c>
      <c r="N319" s="17">
        <f>IF($F319&lt;&gt;"OK","",INDEX(Cat_TMax,MATCH($C319,Cat_Nombre,0)))</f>
        <v/>
      </c>
      <c r="O319" s="18">
        <f>IF($F319&lt;&gt;"OK","",INDEX(Cat_POpus,MATCH($C319,Cat_Nombre,0)))</f>
        <v/>
      </c>
      <c r="P319" s="19">
        <f>IF($F319&lt;&gt;"OK","",M319/1000000*((1-O319)*UsdM_Sonnet+O319*UsdM_Opus))</f>
        <v/>
      </c>
      <c r="Q319" s="19">
        <f>IF($F319&lt;&gt;"OK","",N319/1000000*((1-O319)*UsdM_Sonnet+O319*UsdM_Opus))</f>
        <v/>
      </c>
      <c r="R319" s="19">
        <f>IF($F319&lt;&gt;"OK","",G319*TarifaHora)</f>
        <v/>
      </c>
      <c r="S319" s="19">
        <f>IF($F319&lt;&gt;"OK","",H319*TarifaHora)</f>
        <v/>
      </c>
      <c r="T319" s="10">
        <f>IF($F319&lt;&gt;"OK","",IF(COUNTIFS($A$2:$A319,$A319,$F$2:$F319,"OK")=1,MAX($T$1:$T318)+1,""))</f>
        <v/>
      </c>
    </row>
    <row r="320">
      <c r="A320" s="11" t="n"/>
      <c r="B320" s="11" t="n"/>
      <c r="C320" s="11" t="n"/>
      <c r="D320" s="11" t="n"/>
      <c r="E320" s="11" t="n"/>
      <c r="F320" s="10">
        <f>IF(AND($A320="",$B320="",$C320=""),"",IF($A320="","⚠ Falta hito",IF(ISNA(MATCH($C320,Cat_Nombre,0)),"⚠ Categoría inválida","OK")))</f>
        <v/>
      </c>
      <c r="G320" s="16">
        <f>IF($F320&lt;&gt;"OK","",IF(UPPER(TRIM($D320))="NO",INDEX(Cat_HMax,MATCH($C320,Cat_Nombre,0)),INDEX(Cat_HMin,MATCH($C320,Cat_Nombre,0))))</f>
        <v/>
      </c>
      <c r="H320" s="16">
        <f>IF($F320&lt;&gt;"OK","",INDEX(Cat_HMax,MATCH($C320,Cat_Nombre,0)))</f>
        <v/>
      </c>
      <c r="I320" s="16">
        <f>IF($F320&lt;&gt;"OK","",(G320+H320)/2)</f>
        <v/>
      </c>
      <c r="J320" s="16">
        <f>IF($F320&lt;&gt;"OK","",G320/HorasDia)</f>
        <v/>
      </c>
      <c r="K320" s="16">
        <f>IF($F320&lt;&gt;"OK","",I320/HorasDia)</f>
        <v/>
      </c>
      <c r="L320" s="16">
        <f>IF($F320&lt;&gt;"OK","",H320/HorasDia)</f>
        <v/>
      </c>
      <c r="M320" s="17">
        <f>IF($F320&lt;&gt;"OK","",IF(UPPER(TRIM($D320))="NO",INDEX(Cat_TMax,MATCH($C320,Cat_Nombre,0)),INDEX(Cat_TMin,MATCH($C320,Cat_Nombre,0))))</f>
        <v/>
      </c>
      <c r="N320" s="17">
        <f>IF($F320&lt;&gt;"OK","",INDEX(Cat_TMax,MATCH($C320,Cat_Nombre,0)))</f>
        <v/>
      </c>
      <c r="O320" s="18">
        <f>IF($F320&lt;&gt;"OK","",INDEX(Cat_POpus,MATCH($C320,Cat_Nombre,0)))</f>
        <v/>
      </c>
      <c r="P320" s="19">
        <f>IF($F320&lt;&gt;"OK","",M320/1000000*((1-O320)*UsdM_Sonnet+O320*UsdM_Opus))</f>
        <v/>
      </c>
      <c r="Q320" s="19">
        <f>IF($F320&lt;&gt;"OK","",N320/1000000*((1-O320)*UsdM_Sonnet+O320*UsdM_Opus))</f>
        <v/>
      </c>
      <c r="R320" s="19">
        <f>IF($F320&lt;&gt;"OK","",G320*TarifaHora)</f>
        <v/>
      </c>
      <c r="S320" s="19">
        <f>IF($F320&lt;&gt;"OK","",H320*TarifaHora)</f>
        <v/>
      </c>
      <c r="T320" s="10">
        <f>IF($F320&lt;&gt;"OK","",IF(COUNTIFS($A$2:$A320,$A320,$F$2:$F320,"OK")=1,MAX($T$1:$T319)+1,""))</f>
        <v/>
      </c>
    </row>
    <row r="321">
      <c r="A321" s="11" t="n"/>
      <c r="B321" s="11" t="n"/>
      <c r="C321" s="11" t="n"/>
      <c r="D321" s="11" t="n"/>
      <c r="E321" s="11" t="n"/>
      <c r="F321" s="10">
        <f>IF(AND($A321="",$B321="",$C321=""),"",IF($A321="","⚠ Falta hito",IF(ISNA(MATCH($C321,Cat_Nombre,0)),"⚠ Categoría inválida","OK")))</f>
        <v/>
      </c>
      <c r="G321" s="16">
        <f>IF($F321&lt;&gt;"OK","",IF(UPPER(TRIM($D321))="NO",INDEX(Cat_HMax,MATCH($C321,Cat_Nombre,0)),INDEX(Cat_HMin,MATCH($C321,Cat_Nombre,0))))</f>
        <v/>
      </c>
      <c r="H321" s="16">
        <f>IF($F321&lt;&gt;"OK","",INDEX(Cat_HMax,MATCH($C321,Cat_Nombre,0)))</f>
        <v/>
      </c>
      <c r="I321" s="16">
        <f>IF($F321&lt;&gt;"OK","",(G321+H321)/2)</f>
        <v/>
      </c>
      <c r="J321" s="16">
        <f>IF($F321&lt;&gt;"OK","",G321/HorasDia)</f>
        <v/>
      </c>
      <c r="K321" s="16">
        <f>IF($F321&lt;&gt;"OK","",I321/HorasDia)</f>
        <v/>
      </c>
      <c r="L321" s="16">
        <f>IF($F321&lt;&gt;"OK","",H321/HorasDia)</f>
        <v/>
      </c>
      <c r="M321" s="17">
        <f>IF($F321&lt;&gt;"OK","",IF(UPPER(TRIM($D321))="NO",INDEX(Cat_TMax,MATCH($C321,Cat_Nombre,0)),INDEX(Cat_TMin,MATCH($C321,Cat_Nombre,0))))</f>
        <v/>
      </c>
      <c r="N321" s="17">
        <f>IF($F321&lt;&gt;"OK","",INDEX(Cat_TMax,MATCH($C321,Cat_Nombre,0)))</f>
        <v/>
      </c>
      <c r="O321" s="18">
        <f>IF($F321&lt;&gt;"OK","",INDEX(Cat_POpus,MATCH($C321,Cat_Nombre,0)))</f>
        <v/>
      </c>
      <c r="P321" s="19">
        <f>IF($F321&lt;&gt;"OK","",M321/1000000*((1-O321)*UsdM_Sonnet+O321*UsdM_Opus))</f>
        <v/>
      </c>
      <c r="Q321" s="19">
        <f>IF($F321&lt;&gt;"OK","",N321/1000000*((1-O321)*UsdM_Sonnet+O321*UsdM_Opus))</f>
        <v/>
      </c>
      <c r="R321" s="19">
        <f>IF($F321&lt;&gt;"OK","",G321*TarifaHora)</f>
        <v/>
      </c>
      <c r="S321" s="19">
        <f>IF($F321&lt;&gt;"OK","",H321*TarifaHora)</f>
        <v/>
      </c>
      <c r="T321" s="10">
        <f>IF($F321&lt;&gt;"OK","",IF(COUNTIFS($A$2:$A321,$A321,$F$2:$F321,"OK")=1,MAX($T$1:$T320)+1,""))</f>
        <v/>
      </c>
    </row>
    <row r="322">
      <c r="A322" s="11" t="n"/>
      <c r="B322" s="11" t="n"/>
      <c r="C322" s="11" t="n"/>
      <c r="D322" s="11" t="n"/>
      <c r="E322" s="11" t="n"/>
      <c r="F322" s="10">
        <f>IF(AND($A322="",$B322="",$C322=""),"",IF($A322="","⚠ Falta hito",IF(ISNA(MATCH($C322,Cat_Nombre,0)),"⚠ Categoría inválida","OK")))</f>
        <v/>
      </c>
      <c r="G322" s="16">
        <f>IF($F322&lt;&gt;"OK","",IF(UPPER(TRIM($D322))="NO",INDEX(Cat_HMax,MATCH($C322,Cat_Nombre,0)),INDEX(Cat_HMin,MATCH($C322,Cat_Nombre,0))))</f>
        <v/>
      </c>
      <c r="H322" s="16">
        <f>IF($F322&lt;&gt;"OK","",INDEX(Cat_HMax,MATCH($C322,Cat_Nombre,0)))</f>
        <v/>
      </c>
      <c r="I322" s="16">
        <f>IF($F322&lt;&gt;"OK","",(G322+H322)/2)</f>
        <v/>
      </c>
      <c r="J322" s="16">
        <f>IF($F322&lt;&gt;"OK","",G322/HorasDia)</f>
        <v/>
      </c>
      <c r="K322" s="16">
        <f>IF($F322&lt;&gt;"OK","",I322/HorasDia)</f>
        <v/>
      </c>
      <c r="L322" s="16">
        <f>IF($F322&lt;&gt;"OK","",H322/HorasDia)</f>
        <v/>
      </c>
      <c r="M322" s="17">
        <f>IF($F322&lt;&gt;"OK","",IF(UPPER(TRIM($D322))="NO",INDEX(Cat_TMax,MATCH($C322,Cat_Nombre,0)),INDEX(Cat_TMin,MATCH($C322,Cat_Nombre,0))))</f>
        <v/>
      </c>
      <c r="N322" s="17">
        <f>IF($F322&lt;&gt;"OK","",INDEX(Cat_TMax,MATCH($C322,Cat_Nombre,0)))</f>
        <v/>
      </c>
      <c r="O322" s="18">
        <f>IF($F322&lt;&gt;"OK","",INDEX(Cat_POpus,MATCH($C322,Cat_Nombre,0)))</f>
        <v/>
      </c>
      <c r="P322" s="19">
        <f>IF($F322&lt;&gt;"OK","",M322/1000000*((1-O322)*UsdM_Sonnet+O322*UsdM_Opus))</f>
        <v/>
      </c>
      <c r="Q322" s="19">
        <f>IF($F322&lt;&gt;"OK","",N322/1000000*((1-O322)*UsdM_Sonnet+O322*UsdM_Opus))</f>
        <v/>
      </c>
      <c r="R322" s="19">
        <f>IF($F322&lt;&gt;"OK","",G322*TarifaHora)</f>
        <v/>
      </c>
      <c r="S322" s="19">
        <f>IF($F322&lt;&gt;"OK","",H322*TarifaHora)</f>
        <v/>
      </c>
      <c r="T322" s="10">
        <f>IF($F322&lt;&gt;"OK","",IF(COUNTIFS($A$2:$A322,$A322,$F$2:$F322,"OK")=1,MAX($T$1:$T321)+1,""))</f>
        <v/>
      </c>
    </row>
    <row r="323">
      <c r="A323" s="11" t="n"/>
      <c r="B323" s="11" t="n"/>
      <c r="C323" s="11" t="n"/>
      <c r="D323" s="11" t="n"/>
      <c r="E323" s="11" t="n"/>
      <c r="F323" s="10">
        <f>IF(AND($A323="",$B323="",$C323=""),"",IF($A323="","⚠ Falta hito",IF(ISNA(MATCH($C323,Cat_Nombre,0)),"⚠ Categoría inválida","OK")))</f>
        <v/>
      </c>
      <c r="G323" s="16">
        <f>IF($F323&lt;&gt;"OK","",IF(UPPER(TRIM($D323))="NO",INDEX(Cat_HMax,MATCH($C323,Cat_Nombre,0)),INDEX(Cat_HMin,MATCH($C323,Cat_Nombre,0))))</f>
        <v/>
      </c>
      <c r="H323" s="16">
        <f>IF($F323&lt;&gt;"OK","",INDEX(Cat_HMax,MATCH($C323,Cat_Nombre,0)))</f>
        <v/>
      </c>
      <c r="I323" s="16">
        <f>IF($F323&lt;&gt;"OK","",(G323+H323)/2)</f>
        <v/>
      </c>
      <c r="J323" s="16">
        <f>IF($F323&lt;&gt;"OK","",G323/HorasDia)</f>
        <v/>
      </c>
      <c r="K323" s="16">
        <f>IF($F323&lt;&gt;"OK","",I323/HorasDia)</f>
        <v/>
      </c>
      <c r="L323" s="16">
        <f>IF($F323&lt;&gt;"OK","",H323/HorasDia)</f>
        <v/>
      </c>
      <c r="M323" s="17">
        <f>IF($F323&lt;&gt;"OK","",IF(UPPER(TRIM($D323))="NO",INDEX(Cat_TMax,MATCH($C323,Cat_Nombre,0)),INDEX(Cat_TMin,MATCH($C323,Cat_Nombre,0))))</f>
        <v/>
      </c>
      <c r="N323" s="17">
        <f>IF($F323&lt;&gt;"OK","",INDEX(Cat_TMax,MATCH($C323,Cat_Nombre,0)))</f>
        <v/>
      </c>
      <c r="O323" s="18">
        <f>IF($F323&lt;&gt;"OK","",INDEX(Cat_POpus,MATCH($C323,Cat_Nombre,0)))</f>
        <v/>
      </c>
      <c r="P323" s="19">
        <f>IF($F323&lt;&gt;"OK","",M323/1000000*((1-O323)*UsdM_Sonnet+O323*UsdM_Opus))</f>
        <v/>
      </c>
      <c r="Q323" s="19">
        <f>IF($F323&lt;&gt;"OK","",N323/1000000*((1-O323)*UsdM_Sonnet+O323*UsdM_Opus))</f>
        <v/>
      </c>
      <c r="R323" s="19">
        <f>IF($F323&lt;&gt;"OK","",G323*TarifaHora)</f>
        <v/>
      </c>
      <c r="S323" s="19">
        <f>IF($F323&lt;&gt;"OK","",H323*TarifaHora)</f>
        <v/>
      </c>
      <c r="T323" s="10">
        <f>IF($F323&lt;&gt;"OK","",IF(COUNTIFS($A$2:$A323,$A323,$F$2:$F323,"OK")=1,MAX($T$1:$T322)+1,""))</f>
        <v/>
      </c>
    </row>
    <row r="324">
      <c r="A324" s="11" t="n"/>
      <c r="B324" s="11" t="n"/>
      <c r="C324" s="11" t="n"/>
      <c r="D324" s="11" t="n"/>
      <c r="E324" s="11" t="n"/>
      <c r="F324" s="10">
        <f>IF(AND($A324="",$B324="",$C324=""),"",IF($A324="","⚠ Falta hito",IF(ISNA(MATCH($C324,Cat_Nombre,0)),"⚠ Categoría inválida","OK")))</f>
        <v/>
      </c>
      <c r="G324" s="16">
        <f>IF($F324&lt;&gt;"OK","",IF(UPPER(TRIM($D324))="NO",INDEX(Cat_HMax,MATCH($C324,Cat_Nombre,0)),INDEX(Cat_HMin,MATCH($C324,Cat_Nombre,0))))</f>
        <v/>
      </c>
      <c r="H324" s="16">
        <f>IF($F324&lt;&gt;"OK","",INDEX(Cat_HMax,MATCH($C324,Cat_Nombre,0)))</f>
        <v/>
      </c>
      <c r="I324" s="16">
        <f>IF($F324&lt;&gt;"OK","",(G324+H324)/2)</f>
        <v/>
      </c>
      <c r="J324" s="16">
        <f>IF($F324&lt;&gt;"OK","",G324/HorasDia)</f>
        <v/>
      </c>
      <c r="K324" s="16">
        <f>IF($F324&lt;&gt;"OK","",I324/HorasDia)</f>
        <v/>
      </c>
      <c r="L324" s="16">
        <f>IF($F324&lt;&gt;"OK","",H324/HorasDia)</f>
        <v/>
      </c>
      <c r="M324" s="17">
        <f>IF($F324&lt;&gt;"OK","",IF(UPPER(TRIM($D324))="NO",INDEX(Cat_TMax,MATCH($C324,Cat_Nombre,0)),INDEX(Cat_TMin,MATCH($C324,Cat_Nombre,0))))</f>
        <v/>
      </c>
      <c r="N324" s="17">
        <f>IF($F324&lt;&gt;"OK","",INDEX(Cat_TMax,MATCH($C324,Cat_Nombre,0)))</f>
        <v/>
      </c>
      <c r="O324" s="18">
        <f>IF($F324&lt;&gt;"OK","",INDEX(Cat_POpus,MATCH($C324,Cat_Nombre,0)))</f>
        <v/>
      </c>
      <c r="P324" s="19">
        <f>IF($F324&lt;&gt;"OK","",M324/1000000*((1-O324)*UsdM_Sonnet+O324*UsdM_Opus))</f>
        <v/>
      </c>
      <c r="Q324" s="19">
        <f>IF($F324&lt;&gt;"OK","",N324/1000000*((1-O324)*UsdM_Sonnet+O324*UsdM_Opus))</f>
        <v/>
      </c>
      <c r="R324" s="19">
        <f>IF($F324&lt;&gt;"OK","",G324*TarifaHora)</f>
        <v/>
      </c>
      <c r="S324" s="19">
        <f>IF($F324&lt;&gt;"OK","",H324*TarifaHora)</f>
        <v/>
      </c>
      <c r="T324" s="10">
        <f>IF($F324&lt;&gt;"OK","",IF(COUNTIFS($A$2:$A324,$A324,$F$2:$F324,"OK")=1,MAX($T$1:$T323)+1,""))</f>
        <v/>
      </c>
    </row>
    <row r="325">
      <c r="A325" s="11" t="n"/>
      <c r="B325" s="11" t="n"/>
      <c r="C325" s="11" t="n"/>
      <c r="D325" s="11" t="n"/>
      <c r="E325" s="11" t="n"/>
      <c r="F325" s="10">
        <f>IF(AND($A325="",$B325="",$C325=""),"",IF($A325="","⚠ Falta hito",IF(ISNA(MATCH($C325,Cat_Nombre,0)),"⚠ Categoría inválida","OK")))</f>
        <v/>
      </c>
      <c r="G325" s="16">
        <f>IF($F325&lt;&gt;"OK","",IF(UPPER(TRIM($D325))="NO",INDEX(Cat_HMax,MATCH($C325,Cat_Nombre,0)),INDEX(Cat_HMin,MATCH($C325,Cat_Nombre,0))))</f>
        <v/>
      </c>
      <c r="H325" s="16">
        <f>IF($F325&lt;&gt;"OK","",INDEX(Cat_HMax,MATCH($C325,Cat_Nombre,0)))</f>
        <v/>
      </c>
      <c r="I325" s="16">
        <f>IF($F325&lt;&gt;"OK","",(G325+H325)/2)</f>
        <v/>
      </c>
      <c r="J325" s="16">
        <f>IF($F325&lt;&gt;"OK","",G325/HorasDia)</f>
        <v/>
      </c>
      <c r="K325" s="16">
        <f>IF($F325&lt;&gt;"OK","",I325/HorasDia)</f>
        <v/>
      </c>
      <c r="L325" s="16">
        <f>IF($F325&lt;&gt;"OK","",H325/HorasDia)</f>
        <v/>
      </c>
      <c r="M325" s="17">
        <f>IF($F325&lt;&gt;"OK","",IF(UPPER(TRIM($D325))="NO",INDEX(Cat_TMax,MATCH($C325,Cat_Nombre,0)),INDEX(Cat_TMin,MATCH($C325,Cat_Nombre,0))))</f>
        <v/>
      </c>
      <c r="N325" s="17">
        <f>IF($F325&lt;&gt;"OK","",INDEX(Cat_TMax,MATCH($C325,Cat_Nombre,0)))</f>
        <v/>
      </c>
      <c r="O325" s="18">
        <f>IF($F325&lt;&gt;"OK","",INDEX(Cat_POpus,MATCH($C325,Cat_Nombre,0)))</f>
        <v/>
      </c>
      <c r="P325" s="19">
        <f>IF($F325&lt;&gt;"OK","",M325/1000000*((1-O325)*UsdM_Sonnet+O325*UsdM_Opus))</f>
        <v/>
      </c>
      <c r="Q325" s="19">
        <f>IF($F325&lt;&gt;"OK","",N325/1000000*((1-O325)*UsdM_Sonnet+O325*UsdM_Opus))</f>
        <v/>
      </c>
      <c r="R325" s="19">
        <f>IF($F325&lt;&gt;"OK","",G325*TarifaHora)</f>
        <v/>
      </c>
      <c r="S325" s="19">
        <f>IF($F325&lt;&gt;"OK","",H325*TarifaHora)</f>
        <v/>
      </c>
      <c r="T325" s="10">
        <f>IF($F325&lt;&gt;"OK","",IF(COUNTIFS($A$2:$A325,$A325,$F$2:$F325,"OK")=1,MAX($T$1:$T324)+1,""))</f>
        <v/>
      </c>
    </row>
    <row r="326">
      <c r="A326" s="11" t="n"/>
      <c r="B326" s="11" t="n"/>
      <c r="C326" s="11" t="n"/>
      <c r="D326" s="11" t="n"/>
      <c r="E326" s="11" t="n"/>
      <c r="F326" s="10">
        <f>IF(AND($A326="",$B326="",$C326=""),"",IF($A326="","⚠ Falta hito",IF(ISNA(MATCH($C326,Cat_Nombre,0)),"⚠ Categoría inválida","OK")))</f>
        <v/>
      </c>
      <c r="G326" s="16">
        <f>IF($F326&lt;&gt;"OK","",IF(UPPER(TRIM($D326))="NO",INDEX(Cat_HMax,MATCH($C326,Cat_Nombre,0)),INDEX(Cat_HMin,MATCH($C326,Cat_Nombre,0))))</f>
        <v/>
      </c>
      <c r="H326" s="16">
        <f>IF($F326&lt;&gt;"OK","",INDEX(Cat_HMax,MATCH($C326,Cat_Nombre,0)))</f>
        <v/>
      </c>
      <c r="I326" s="16">
        <f>IF($F326&lt;&gt;"OK","",(G326+H326)/2)</f>
        <v/>
      </c>
      <c r="J326" s="16">
        <f>IF($F326&lt;&gt;"OK","",G326/HorasDia)</f>
        <v/>
      </c>
      <c r="K326" s="16">
        <f>IF($F326&lt;&gt;"OK","",I326/HorasDia)</f>
        <v/>
      </c>
      <c r="L326" s="16">
        <f>IF($F326&lt;&gt;"OK","",H326/HorasDia)</f>
        <v/>
      </c>
      <c r="M326" s="17">
        <f>IF($F326&lt;&gt;"OK","",IF(UPPER(TRIM($D326))="NO",INDEX(Cat_TMax,MATCH($C326,Cat_Nombre,0)),INDEX(Cat_TMin,MATCH($C326,Cat_Nombre,0))))</f>
        <v/>
      </c>
      <c r="N326" s="17">
        <f>IF($F326&lt;&gt;"OK","",INDEX(Cat_TMax,MATCH($C326,Cat_Nombre,0)))</f>
        <v/>
      </c>
      <c r="O326" s="18">
        <f>IF($F326&lt;&gt;"OK","",INDEX(Cat_POpus,MATCH($C326,Cat_Nombre,0)))</f>
        <v/>
      </c>
      <c r="P326" s="19">
        <f>IF($F326&lt;&gt;"OK","",M326/1000000*((1-O326)*UsdM_Sonnet+O326*UsdM_Opus))</f>
        <v/>
      </c>
      <c r="Q326" s="19">
        <f>IF($F326&lt;&gt;"OK","",N326/1000000*((1-O326)*UsdM_Sonnet+O326*UsdM_Opus))</f>
        <v/>
      </c>
      <c r="R326" s="19">
        <f>IF($F326&lt;&gt;"OK","",G326*TarifaHora)</f>
        <v/>
      </c>
      <c r="S326" s="19">
        <f>IF($F326&lt;&gt;"OK","",H326*TarifaHora)</f>
        <v/>
      </c>
      <c r="T326" s="10">
        <f>IF($F326&lt;&gt;"OK","",IF(COUNTIFS($A$2:$A326,$A326,$F$2:$F326,"OK")=1,MAX($T$1:$T325)+1,""))</f>
        <v/>
      </c>
    </row>
    <row r="327">
      <c r="A327" s="11" t="n"/>
      <c r="B327" s="11" t="n"/>
      <c r="C327" s="11" t="n"/>
      <c r="D327" s="11" t="n"/>
      <c r="E327" s="11" t="n"/>
      <c r="F327" s="10">
        <f>IF(AND($A327="",$B327="",$C327=""),"",IF($A327="","⚠ Falta hito",IF(ISNA(MATCH($C327,Cat_Nombre,0)),"⚠ Categoría inválida","OK")))</f>
        <v/>
      </c>
      <c r="G327" s="16">
        <f>IF($F327&lt;&gt;"OK","",IF(UPPER(TRIM($D327))="NO",INDEX(Cat_HMax,MATCH($C327,Cat_Nombre,0)),INDEX(Cat_HMin,MATCH($C327,Cat_Nombre,0))))</f>
        <v/>
      </c>
      <c r="H327" s="16">
        <f>IF($F327&lt;&gt;"OK","",INDEX(Cat_HMax,MATCH($C327,Cat_Nombre,0)))</f>
        <v/>
      </c>
      <c r="I327" s="16">
        <f>IF($F327&lt;&gt;"OK","",(G327+H327)/2)</f>
        <v/>
      </c>
      <c r="J327" s="16">
        <f>IF($F327&lt;&gt;"OK","",G327/HorasDia)</f>
        <v/>
      </c>
      <c r="K327" s="16">
        <f>IF($F327&lt;&gt;"OK","",I327/HorasDia)</f>
        <v/>
      </c>
      <c r="L327" s="16">
        <f>IF($F327&lt;&gt;"OK","",H327/HorasDia)</f>
        <v/>
      </c>
      <c r="M327" s="17">
        <f>IF($F327&lt;&gt;"OK","",IF(UPPER(TRIM($D327))="NO",INDEX(Cat_TMax,MATCH($C327,Cat_Nombre,0)),INDEX(Cat_TMin,MATCH($C327,Cat_Nombre,0))))</f>
        <v/>
      </c>
      <c r="N327" s="17">
        <f>IF($F327&lt;&gt;"OK","",INDEX(Cat_TMax,MATCH($C327,Cat_Nombre,0)))</f>
        <v/>
      </c>
      <c r="O327" s="18">
        <f>IF($F327&lt;&gt;"OK","",INDEX(Cat_POpus,MATCH($C327,Cat_Nombre,0)))</f>
        <v/>
      </c>
      <c r="P327" s="19">
        <f>IF($F327&lt;&gt;"OK","",M327/1000000*((1-O327)*UsdM_Sonnet+O327*UsdM_Opus))</f>
        <v/>
      </c>
      <c r="Q327" s="19">
        <f>IF($F327&lt;&gt;"OK","",N327/1000000*((1-O327)*UsdM_Sonnet+O327*UsdM_Opus))</f>
        <v/>
      </c>
      <c r="R327" s="19">
        <f>IF($F327&lt;&gt;"OK","",G327*TarifaHora)</f>
        <v/>
      </c>
      <c r="S327" s="19">
        <f>IF($F327&lt;&gt;"OK","",H327*TarifaHora)</f>
        <v/>
      </c>
      <c r="T327" s="10">
        <f>IF($F327&lt;&gt;"OK","",IF(COUNTIFS($A$2:$A327,$A327,$F$2:$F327,"OK")=1,MAX($T$1:$T326)+1,""))</f>
        <v/>
      </c>
    </row>
    <row r="328">
      <c r="A328" s="11" t="n"/>
      <c r="B328" s="11" t="n"/>
      <c r="C328" s="11" t="n"/>
      <c r="D328" s="11" t="n"/>
      <c r="E328" s="11" t="n"/>
      <c r="F328" s="10">
        <f>IF(AND($A328="",$B328="",$C328=""),"",IF($A328="","⚠ Falta hito",IF(ISNA(MATCH($C328,Cat_Nombre,0)),"⚠ Categoría inválida","OK")))</f>
        <v/>
      </c>
      <c r="G328" s="16">
        <f>IF($F328&lt;&gt;"OK","",IF(UPPER(TRIM($D328))="NO",INDEX(Cat_HMax,MATCH($C328,Cat_Nombre,0)),INDEX(Cat_HMin,MATCH($C328,Cat_Nombre,0))))</f>
        <v/>
      </c>
      <c r="H328" s="16">
        <f>IF($F328&lt;&gt;"OK","",INDEX(Cat_HMax,MATCH($C328,Cat_Nombre,0)))</f>
        <v/>
      </c>
      <c r="I328" s="16">
        <f>IF($F328&lt;&gt;"OK","",(G328+H328)/2)</f>
        <v/>
      </c>
      <c r="J328" s="16">
        <f>IF($F328&lt;&gt;"OK","",G328/HorasDia)</f>
        <v/>
      </c>
      <c r="K328" s="16">
        <f>IF($F328&lt;&gt;"OK","",I328/HorasDia)</f>
        <v/>
      </c>
      <c r="L328" s="16">
        <f>IF($F328&lt;&gt;"OK","",H328/HorasDia)</f>
        <v/>
      </c>
      <c r="M328" s="17">
        <f>IF($F328&lt;&gt;"OK","",IF(UPPER(TRIM($D328))="NO",INDEX(Cat_TMax,MATCH($C328,Cat_Nombre,0)),INDEX(Cat_TMin,MATCH($C328,Cat_Nombre,0))))</f>
        <v/>
      </c>
      <c r="N328" s="17">
        <f>IF($F328&lt;&gt;"OK","",INDEX(Cat_TMax,MATCH($C328,Cat_Nombre,0)))</f>
        <v/>
      </c>
      <c r="O328" s="18">
        <f>IF($F328&lt;&gt;"OK","",INDEX(Cat_POpus,MATCH($C328,Cat_Nombre,0)))</f>
        <v/>
      </c>
      <c r="P328" s="19">
        <f>IF($F328&lt;&gt;"OK","",M328/1000000*((1-O328)*UsdM_Sonnet+O328*UsdM_Opus))</f>
        <v/>
      </c>
      <c r="Q328" s="19">
        <f>IF($F328&lt;&gt;"OK","",N328/1000000*((1-O328)*UsdM_Sonnet+O328*UsdM_Opus))</f>
        <v/>
      </c>
      <c r="R328" s="19">
        <f>IF($F328&lt;&gt;"OK","",G328*TarifaHora)</f>
        <v/>
      </c>
      <c r="S328" s="19">
        <f>IF($F328&lt;&gt;"OK","",H328*TarifaHora)</f>
        <v/>
      </c>
      <c r="T328" s="10">
        <f>IF($F328&lt;&gt;"OK","",IF(COUNTIFS($A$2:$A328,$A328,$F$2:$F328,"OK")=1,MAX($T$1:$T327)+1,""))</f>
        <v/>
      </c>
    </row>
    <row r="329">
      <c r="A329" s="11" t="n"/>
      <c r="B329" s="11" t="n"/>
      <c r="C329" s="11" t="n"/>
      <c r="D329" s="11" t="n"/>
      <c r="E329" s="11" t="n"/>
      <c r="F329" s="10">
        <f>IF(AND($A329="",$B329="",$C329=""),"",IF($A329="","⚠ Falta hito",IF(ISNA(MATCH($C329,Cat_Nombre,0)),"⚠ Categoría inválida","OK")))</f>
        <v/>
      </c>
      <c r="G329" s="16">
        <f>IF($F329&lt;&gt;"OK","",IF(UPPER(TRIM($D329))="NO",INDEX(Cat_HMax,MATCH($C329,Cat_Nombre,0)),INDEX(Cat_HMin,MATCH($C329,Cat_Nombre,0))))</f>
        <v/>
      </c>
      <c r="H329" s="16">
        <f>IF($F329&lt;&gt;"OK","",INDEX(Cat_HMax,MATCH($C329,Cat_Nombre,0)))</f>
        <v/>
      </c>
      <c r="I329" s="16">
        <f>IF($F329&lt;&gt;"OK","",(G329+H329)/2)</f>
        <v/>
      </c>
      <c r="J329" s="16">
        <f>IF($F329&lt;&gt;"OK","",G329/HorasDia)</f>
        <v/>
      </c>
      <c r="K329" s="16">
        <f>IF($F329&lt;&gt;"OK","",I329/HorasDia)</f>
        <v/>
      </c>
      <c r="L329" s="16">
        <f>IF($F329&lt;&gt;"OK","",H329/HorasDia)</f>
        <v/>
      </c>
      <c r="M329" s="17">
        <f>IF($F329&lt;&gt;"OK","",IF(UPPER(TRIM($D329))="NO",INDEX(Cat_TMax,MATCH($C329,Cat_Nombre,0)),INDEX(Cat_TMin,MATCH($C329,Cat_Nombre,0))))</f>
        <v/>
      </c>
      <c r="N329" s="17">
        <f>IF($F329&lt;&gt;"OK","",INDEX(Cat_TMax,MATCH($C329,Cat_Nombre,0)))</f>
        <v/>
      </c>
      <c r="O329" s="18">
        <f>IF($F329&lt;&gt;"OK","",INDEX(Cat_POpus,MATCH($C329,Cat_Nombre,0)))</f>
        <v/>
      </c>
      <c r="P329" s="19">
        <f>IF($F329&lt;&gt;"OK","",M329/1000000*((1-O329)*UsdM_Sonnet+O329*UsdM_Opus))</f>
        <v/>
      </c>
      <c r="Q329" s="19">
        <f>IF($F329&lt;&gt;"OK","",N329/1000000*((1-O329)*UsdM_Sonnet+O329*UsdM_Opus))</f>
        <v/>
      </c>
      <c r="R329" s="19">
        <f>IF($F329&lt;&gt;"OK","",G329*TarifaHora)</f>
        <v/>
      </c>
      <c r="S329" s="19">
        <f>IF($F329&lt;&gt;"OK","",H329*TarifaHora)</f>
        <v/>
      </c>
      <c r="T329" s="10">
        <f>IF($F329&lt;&gt;"OK","",IF(COUNTIFS($A$2:$A329,$A329,$F$2:$F329,"OK")=1,MAX($T$1:$T328)+1,""))</f>
        <v/>
      </c>
    </row>
    <row r="330">
      <c r="A330" s="11" t="n"/>
      <c r="B330" s="11" t="n"/>
      <c r="C330" s="11" t="n"/>
      <c r="D330" s="11" t="n"/>
      <c r="E330" s="11" t="n"/>
      <c r="F330" s="10">
        <f>IF(AND($A330="",$B330="",$C330=""),"",IF($A330="","⚠ Falta hito",IF(ISNA(MATCH($C330,Cat_Nombre,0)),"⚠ Categoría inválida","OK")))</f>
        <v/>
      </c>
      <c r="G330" s="16">
        <f>IF($F330&lt;&gt;"OK","",IF(UPPER(TRIM($D330))="NO",INDEX(Cat_HMax,MATCH($C330,Cat_Nombre,0)),INDEX(Cat_HMin,MATCH($C330,Cat_Nombre,0))))</f>
        <v/>
      </c>
      <c r="H330" s="16">
        <f>IF($F330&lt;&gt;"OK","",INDEX(Cat_HMax,MATCH($C330,Cat_Nombre,0)))</f>
        <v/>
      </c>
      <c r="I330" s="16">
        <f>IF($F330&lt;&gt;"OK","",(G330+H330)/2)</f>
        <v/>
      </c>
      <c r="J330" s="16">
        <f>IF($F330&lt;&gt;"OK","",G330/HorasDia)</f>
        <v/>
      </c>
      <c r="K330" s="16">
        <f>IF($F330&lt;&gt;"OK","",I330/HorasDia)</f>
        <v/>
      </c>
      <c r="L330" s="16">
        <f>IF($F330&lt;&gt;"OK","",H330/HorasDia)</f>
        <v/>
      </c>
      <c r="M330" s="17">
        <f>IF($F330&lt;&gt;"OK","",IF(UPPER(TRIM($D330))="NO",INDEX(Cat_TMax,MATCH($C330,Cat_Nombre,0)),INDEX(Cat_TMin,MATCH($C330,Cat_Nombre,0))))</f>
        <v/>
      </c>
      <c r="N330" s="17">
        <f>IF($F330&lt;&gt;"OK","",INDEX(Cat_TMax,MATCH($C330,Cat_Nombre,0)))</f>
        <v/>
      </c>
      <c r="O330" s="18">
        <f>IF($F330&lt;&gt;"OK","",INDEX(Cat_POpus,MATCH($C330,Cat_Nombre,0)))</f>
        <v/>
      </c>
      <c r="P330" s="19">
        <f>IF($F330&lt;&gt;"OK","",M330/1000000*((1-O330)*UsdM_Sonnet+O330*UsdM_Opus))</f>
        <v/>
      </c>
      <c r="Q330" s="19">
        <f>IF($F330&lt;&gt;"OK","",N330/1000000*((1-O330)*UsdM_Sonnet+O330*UsdM_Opus))</f>
        <v/>
      </c>
      <c r="R330" s="19">
        <f>IF($F330&lt;&gt;"OK","",G330*TarifaHora)</f>
        <v/>
      </c>
      <c r="S330" s="19">
        <f>IF($F330&lt;&gt;"OK","",H330*TarifaHora)</f>
        <v/>
      </c>
      <c r="T330" s="10">
        <f>IF($F330&lt;&gt;"OK","",IF(COUNTIFS($A$2:$A330,$A330,$F$2:$F330,"OK")=1,MAX($T$1:$T329)+1,""))</f>
        <v/>
      </c>
    </row>
    <row r="331">
      <c r="A331" s="11" t="n"/>
      <c r="B331" s="11" t="n"/>
      <c r="C331" s="11" t="n"/>
      <c r="D331" s="11" t="n"/>
      <c r="E331" s="11" t="n"/>
      <c r="F331" s="10">
        <f>IF(AND($A331="",$B331="",$C331=""),"",IF($A331="","⚠ Falta hito",IF(ISNA(MATCH($C331,Cat_Nombre,0)),"⚠ Categoría inválida","OK")))</f>
        <v/>
      </c>
      <c r="G331" s="16">
        <f>IF($F331&lt;&gt;"OK","",IF(UPPER(TRIM($D331))="NO",INDEX(Cat_HMax,MATCH($C331,Cat_Nombre,0)),INDEX(Cat_HMin,MATCH($C331,Cat_Nombre,0))))</f>
        <v/>
      </c>
      <c r="H331" s="16">
        <f>IF($F331&lt;&gt;"OK","",INDEX(Cat_HMax,MATCH($C331,Cat_Nombre,0)))</f>
        <v/>
      </c>
      <c r="I331" s="16">
        <f>IF($F331&lt;&gt;"OK","",(G331+H331)/2)</f>
        <v/>
      </c>
      <c r="J331" s="16">
        <f>IF($F331&lt;&gt;"OK","",G331/HorasDia)</f>
        <v/>
      </c>
      <c r="K331" s="16">
        <f>IF($F331&lt;&gt;"OK","",I331/HorasDia)</f>
        <v/>
      </c>
      <c r="L331" s="16">
        <f>IF($F331&lt;&gt;"OK","",H331/HorasDia)</f>
        <v/>
      </c>
      <c r="M331" s="17">
        <f>IF($F331&lt;&gt;"OK","",IF(UPPER(TRIM($D331))="NO",INDEX(Cat_TMax,MATCH($C331,Cat_Nombre,0)),INDEX(Cat_TMin,MATCH($C331,Cat_Nombre,0))))</f>
        <v/>
      </c>
      <c r="N331" s="17">
        <f>IF($F331&lt;&gt;"OK","",INDEX(Cat_TMax,MATCH($C331,Cat_Nombre,0)))</f>
        <v/>
      </c>
      <c r="O331" s="18">
        <f>IF($F331&lt;&gt;"OK","",INDEX(Cat_POpus,MATCH($C331,Cat_Nombre,0)))</f>
        <v/>
      </c>
      <c r="P331" s="19">
        <f>IF($F331&lt;&gt;"OK","",M331/1000000*((1-O331)*UsdM_Sonnet+O331*UsdM_Opus))</f>
        <v/>
      </c>
      <c r="Q331" s="19">
        <f>IF($F331&lt;&gt;"OK","",N331/1000000*((1-O331)*UsdM_Sonnet+O331*UsdM_Opus))</f>
        <v/>
      </c>
      <c r="R331" s="19">
        <f>IF($F331&lt;&gt;"OK","",G331*TarifaHora)</f>
        <v/>
      </c>
      <c r="S331" s="19">
        <f>IF($F331&lt;&gt;"OK","",H331*TarifaHora)</f>
        <v/>
      </c>
      <c r="T331" s="10">
        <f>IF($F331&lt;&gt;"OK","",IF(COUNTIFS($A$2:$A331,$A331,$F$2:$F331,"OK")=1,MAX($T$1:$T330)+1,""))</f>
        <v/>
      </c>
    </row>
    <row r="332">
      <c r="A332" s="11" t="n"/>
      <c r="B332" s="11" t="n"/>
      <c r="C332" s="11" t="n"/>
      <c r="D332" s="11" t="n"/>
      <c r="E332" s="11" t="n"/>
      <c r="F332" s="10">
        <f>IF(AND($A332="",$B332="",$C332=""),"",IF($A332="","⚠ Falta hito",IF(ISNA(MATCH($C332,Cat_Nombre,0)),"⚠ Categoría inválida","OK")))</f>
        <v/>
      </c>
      <c r="G332" s="16">
        <f>IF($F332&lt;&gt;"OK","",IF(UPPER(TRIM($D332))="NO",INDEX(Cat_HMax,MATCH($C332,Cat_Nombre,0)),INDEX(Cat_HMin,MATCH($C332,Cat_Nombre,0))))</f>
        <v/>
      </c>
      <c r="H332" s="16">
        <f>IF($F332&lt;&gt;"OK","",INDEX(Cat_HMax,MATCH($C332,Cat_Nombre,0)))</f>
        <v/>
      </c>
      <c r="I332" s="16">
        <f>IF($F332&lt;&gt;"OK","",(G332+H332)/2)</f>
        <v/>
      </c>
      <c r="J332" s="16">
        <f>IF($F332&lt;&gt;"OK","",G332/HorasDia)</f>
        <v/>
      </c>
      <c r="K332" s="16">
        <f>IF($F332&lt;&gt;"OK","",I332/HorasDia)</f>
        <v/>
      </c>
      <c r="L332" s="16">
        <f>IF($F332&lt;&gt;"OK","",H332/HorasDia)</f>
        <v/>
      </c>
      <c r="M332" s="17">
        <f>IF($F332&lt;&gt;"OK","",IF(UPPER(TRIM($D332))="NO",INDEX(Cat_TMax,MATCH($C332,Cat_Nombre,0)),INDEX(Cat_TMin,MATCH($C332,Cat_Nombre,0))))</f>
        <v/>
      </c>
      <c r="N332" s="17">
        <f>IF($F332&lt;&gt;"OK","",INDEX(Cat_TMax,MATCH($C332,Cat_Nombre,0)))</f>
        <v/>
      </c>
      <c r="O332" s="18">
        <f>IF($F332&lt;&gt;"OK","",INDEX(Cat_POpus,MATCH($C332,Cat_Nombre,0)))</f>
        <v/>
      </c>
      <c r="P332" s="19">
        <f>IF($F332&lt;&gt;"OK","",M332/1000000*((1-O332)*UsdM_Sonnet+O332*UsdM_Opus))</f>
        <v/>
      </c>
      <c r="Q332" s="19">
        <f>IF($F332&lt;&gt;"OK","",N332/1000000*((1-O332)*UsdM_Sonnet+O332*UsdM_Opus))</f>
        <v/>
      </c>
      <c r="R332" s="19">
        <f>IF($F332&lt;&gt;"OK","",G332*TarifaHora)</f>
        <v/>
      </c>
      <c r="S332" s="19">
        <f>IF($F332&lt;&gt;"OK","",H332*TarifaHora)</f>
        <v/>
      </c>
      <c r="T332" s="10">
        <f>IF($F332&lt;&gt;"OK","",IF(COUNTIFS($A$2:$A332,$A332,$F$2:$F332,"OK")=1,MAX($T$1:$T331)+1,""))</f>
        <v/>
      </c>
    </row>
    <row r="333">
      <c r="A333" s="11" t="n"/>
      <c r="B333" s="11" t="n"/>
      <c r="C333" s="11" t="n"/>
      <c r="D333" s="11" t="n"/>
      <c r="E333" s="11" t="n"/>
      <c r="F333" s="10">
        <f>IF(AND($A333="",$B333="",$C333=""),"",IF($A333="","⚠ Falta hito",IF(ISNA(MATCH($C333,Cat_Nombre,0)),"⚠ Categoría inválida","OK")))</f>
        <v/>
      </c>
      <c r="G333" s="16">
        <f>IF($F333&lt;&gt;"OK","",IF(UPPER(TRIM($D333))="NO",INDEX(Cat_HMax,MATCH($C333,Cat_Nombre,0)),INDEX(Cat_HMin,MATCH($C333,Cat_Nombre,0))))</f>
        <v/>
      </c>
      <c r="H333" s="16">
        <f>IF($F333&lt;&gt;"OK","",INDEX(Cat_HMax,MATCH($C333,Cat_Nombre,0)))</f>
        <v/>
      </c>
      <c r="I333" s="16">
        <f>IF($F333&lt;&gt;"OK","",(G333+H333)/2)</f>
        <v/>
      </c>
      <c r="J333" s="16">
        <f>IF($F333&lt;&gt;"OK","",G333/HorasDia)</f>
        <v/>
      </c>
      <c r="K333" s="16">
        <f>IF($F333&lt;&gt;"OK","",I333/HorasDia)</f>
        <v/>
      </c>
      <c r="L333" s="16">
        <f>IF($F333&lt;&gt;"OK","",H333/HorasDia)</f>
        <v/>
      </c>
      <c r="M333" s="17">
        <f>IF($F333&lt;&gt;"OK","",IF(UPPER(TRIM($D333))="NO",INDEX(Cat_TMax,MATCH($C333,Cat_Nombre,0)),INDEX(Cat_TMin,MATCH($C333,Cat_Nombre,0))))</f>
        <v/>
      </c>
      <c r="N333" s="17">
        <f>IF($F333&lt;&gt;"OK","",INDEX(Cat_TMax,MATCH($C333,Cat_Nombre,0)))</f>
        <v/>
      </c>
      <c r="O333" s="18">
        <f>IF($F333&lt;&gt;"OK","",INDEX(Cat_POpus,MATCH($C333,Cat_Nombre,0)))</f>
        <v/>
      </c>
      <c r="P333" s="19">
        <f>IF($F333&lt;&gt;"OK","",M333/1000000*((1-O333)*UsdM_Sonnet+O333*UsdM_Opus))</f>
        <v/>
      </c>
      <c r="Q333" s="19">
        <f>IF($F333&lt;&gt;"OK","",N333/1000000*((1-O333)*UsdM_Sonnet+O333*UsdM_Opus))</f>
        <v/>
      </c>
      <c r="R333" s="19">
        <f>IF($F333&lt;&gt;"OK","",G333*TarifaHora)</f>
        <v/>
      </c>
      <c r="S333" s="19">
        <f>IF($F333&lt;&gt;"OK","",H333*TarifaHora)</f>
        <v/>
      </c>
      <c r="T333" s="10">
        <f>IF($F333&lt;&gt;"OK","",IF(COUNTIFS($A$2:$A333,$A333,$F$2:$F333,"OK")=1,MAX($T$1:$T332)+1,""))</f>
        <v/>
      </c>
    </row>
    <row r="334">
      <c r="A334" s="11" t="n"/>
      <c r="B334" s="11" t="n"/>
      <c r="C334" s="11" t="n"/>
      <c r="D334" s="11" t="n"/>
      <c r="E334" s="11" t="n"/>
      <c r="F334" s="10">
        <f>IF(AND($A334="",$B334="",$C334=""),"",IF($A334="","⚠ Falta hito",IF(ISNA(MATCH($C334,Cat_Nombre,0)),"⚠ Categoría inválida","OK")))</f>
        <v/>
      </c>
      <c r="G334" s="16">
        <f>IF($F334&lt;&gt;"OK","",IF(UPPER(TRIM($D334))="NO",INDEX(Cat_HMax,MATCH($C334,Cat_Nombre,0)),INDEX(Cat_HMin,MATCH($C334,Cat_Nombre,0))))</f>
        <v/>
      </c>
      <c r="H334" s="16">
        <f>IF($F334&lt;&gt;"OK","",INDEX(Cat_HMax,MATCH($C334,Cat_Nombre,0)))</f>
        <v/>
      </c>
      <c r="I334" s="16">
        <f>IF($F334&lt;&gt;"OK","",(G334+H334)/2)</f>
        <v/>
      </c>
      <c r="J334" s="16">
        <f>IF($F334&lt;&gt;"OK","",G334/HorasDia)</f>
        <v/>
      </c>
      <c r="K334" s="16">
        <f>IF($F334&lt;&gt;"OK","",I334/HorasDia)</f>
        <v/>
      </c>
      <c r="L334" s="16">
        <f>IF($F334&lt;&gt;"OK","",H334/HorasDia)</f>
        <v/>
      </c>
      <c r="M334" s="17">
        <f>IF($F334&lt;&gt;"OK","",IF(UPPER(TRIM($D334))="NO",INDEX(Cat_TMax,MATCH($C334,Cat_Nombre,0)),INDEX(Cat_TMin,MATCH($C334,Cat_Nombre,0))))</f>
        <v/>
      </c>
      <c r="N334" s="17">
        <f>IF($F334&lt;&gt;"OK","",INDEX(Cat_TMax,MATCH($C334,Cat_Nombre,0)))</f>
        <v/>
      </c>
      <c r="O334" s="18">
        <f>IF($F334&lt;&gt;"OK","",INDEX(Cat_POpus,MATCH($C334,Cat_Nombre,0)))</f>
        <v/>
      </c>
      <c r="P334" s="19">
        <f>IF($F334&lt;&gt;"OK","",M334/1000000*((1-O334)*UsdM_Sonnet+O334*UsdM_Opus))</f>
        <v/>
      </c>
      <c r="Q334" s="19">
        <f>IF($F334&lt;&gt;"OK","",N334/1000000*((1-O334)*UsdM_Sonnet+O334*UsdM_Opus))</f>
        <v/>
      </c>
      <c r="R334" s="19">
        <f>IF($F334&lt;&gt;"OK","",G334*TarifaHora)</f>
        <v/>
      </c>
      <c r="S334" s="19">
        <f>IF($F334&lt;&gt;"OK","",H334*TarifaHora)</f>
        <v/>
      </c>
      <c r="T334" s="10">
        <f>IF($F334&lt;&gt;"OK","",IF(COUNTIFS($A$2:$A334,$A334,$F$2:$F334,"OK")=1,MAX($T$1:$T333)+1,""))</f>
        <v/>
      </c>
    </row>
    <row r="335">
      <c r="A335" s="11" t="n"/>
      <c r="B335" s="11" t="n"/>
      <c r="C335" s="11" t="n"/>
      <c r="D335" s="11" t="n"/>
      <c r="E335" s="11" t="n"/>
      <c r="F335" s="10">
        <f>IF(AND($A335="",$B335="",$C335=""),"",IF($A335="","⚠ Falta hito",IF(ISNA(MATCH($C335,Cat_Nombre,0)),"⚠ Categoría inválida","OK")))</f>
        <v/>
      </c>
      <c r="G335" s="16">
        <f>IF($F335&lt;&gt;"OK","",IF(UPPER(TRIM($D335))="NO",INDEX(Cat_HMax,MATCH($C335,Cat_Nombre,0)),INDEX(Cat_HMin,MATCH($C335,Cat_Nombre,0))))</f>
        <v/>
      </c>
      <c r="H335" s="16">
        <f>IF($F335&lt;&gt;"OK","",INDEX(Cat_HMax,MATCH($C335,Cat_Nombre,0)))</f>
        <v/>
      </c>
      <c r="I335" s="16">
        <f>IF($F335&lt;&gt;"OK","",(G335+H335)/2)</f>
        <v/>
      </c>
      <c r="J335" s="16">
        <f>IF($F335&lt;&gt;"OK","",G335/HorasDia)</f>
        <v/>
      </c>
      <c r="K335" s="16">
        <f>IF($F335&lt;&gt;"OK","",I335/HorasDia)</f>
        <v/>
      </c>
      <c r="L335" s="16">
        <f>IF($F335&lt;&gt;"OK","",H335/HorasDia)</f>
        <v/>
      </c>
      <c r="M335" s="17">
        <f>IF($F335&lt;&gt;"OK","",IF(UPPER(TRIM($D335))="NO",INDEX(Cat_TMax,MATCH($C335,Cat_Nombre,0)),INDEX(Cat_TMin,MATCH($C335,Cat_Nombre,0))))</f>
        <v/>
      </c>
      <c r="N335" s="17">
        <f>IF($F335&lt;&gt;"OK","",INDEX(Cat_TMax,MATCH($C335,Cat_Nombre,0)))</f>
        <v/>
      </c>
      <c r="O335" s="18">
        <f>IF($F335&lt;&gt;"OK","",INDEX(Cat_POpus,MATCH($C335,Cat_Nombre,0)))</f>
        <v/>
      </c>
      <c r="P335" s="19">
        <f>IF($F335&lt;&gt;"OK","",M335/1000000*((1-O335)*UsdM_Sonnet+O335*UsdM_Opus))</f>
        <v/>
      </c>
      <c r="Q335" s="19">
        <f>IF($F335&lt;&gt;"OK","",N335/1000000*((1-O335)*UsdM_Sonnet+O335*UsdM_Opus))</f>
        <v/>
      </c>
      <c r="R335" s="19">
        <f>IF($F335&lt;&gt;"OK","",G335*TarifaHora)</f>
        <v/>
      </c>
      <c r="S335" s="19">
        <f>IF($F335&lt;&gt;"OK","",H335*TarifaHora)</f>
        <v/>
      </c>
      <c r="T335" s="10">
        <f>IF($F335&lt;&gt;"OK","",IF(COUNTIFS($A$2:$A335,$A335,$F$2:$F335,"OK")=1,MAX($T$1:$T334)+1,""))</f>
        <v/>
      </c>
    </row>
    <row r="336">
      <c r="A336" s="11" t="n"/>
      <c r="B336" s="11" t="n"/>
      <c r="C336" s="11" t="n"/>
      <c r="D336" s="11" t="n"/>
      <c r="E336" s="11" t="n"/>
      <c r="F336" s="10">
        <f>IF(AND($A336="",$B336="",$C336=""),"",IF($A336="","⚠ Falta hito",IF(ISNA(MATCH($C336,Cat_Nombre,0)),"⚠ Categoría inválida","OK")))</f>
        <v/>
      </c>
      <c r="G336" s="16">
        <f>IF($F336&lt;&gt;"OK","",IF(UPPER(TRIM($D336))="NO",INDEX(Cat_HMax,MATCH($C336,Cat_Nombre,0)),INDEX(Cat_HMin,MATCH($C336,Cat_Nombre,0))))</f>
        <v/>
      </c>
      <c r="H336" s="16">
        <f>IF($F336&lt;&gt;"OK","",INDEX(Cat_HMax,MATCH($C336,Cat_Nombre,0)))</f>
        <v/>
      </c>
      <c r="I336" s="16">
        <f>IF($F336&lt;&gt;"OK","",(G336+H336)/2)</f>
        <v/>
      </c>
      <c r="J336" s="16">
        <f>IF($F336&lt;&gt;"OK","",G336/HorasDia)</f>
        <v/>
      </c>
      <c r="K336" s="16">
        <f>IF($F336&lt;&gt;"OK","",I336/HorasDia)</f>
        <v/>
      </c>
      <c r="L336" s="16">
        <f>IF($F336&lt;&gt;"OK","",H336/HorasDia)</f>
        <v/>
      </c>
      <c r="M336" s="17">
        <f>IF($F336&lt;&gt;"OK","",IF(UPPER(TRIM($D336))="NO",INDEX(Cat_TMax,MATCH($C336,Cat_Nombre,0)),INDEX(Cat_TMin,MATCH($C336,Cat_Nombre,0))))</f>
        <v/>
      </c>
      <c r="N336" s="17">
        <f>IF($F336&lt;&gt;"OK","",INDEX(Cat_TMax,MATCH($C336,Cat_Nombre,0)))</f>
        <v/>
      </c>
      <c r="O336" s="18">
        <f>IF($F336&lt;&gt;"OK","",INDEX(Cat_POpus,MATCH($C336,Cat_Nombre,0)))</f>
        <v/>
      </c>
      <c r="P336" s="19">
        <f>IF($F336&lt;&gt;"OK","",M336/1000000*((1-O336)*UsdM_Sonnet+O336*UsdM_Opus))</f>
        <v/>
      </c>
      <c r="Q336" s="19">
        <f>IF($F336&lt;&gt;"OK","",N336/1000000*((1-O336)*UsdM_Sonnet+O336*UsdM_Opus))</f>
        <v/>
      </c>
      <c r="R336" s="19">
        <f>IF($F336&lt;&gt;"OK","",G336*TarifaHora)</f>
        <v/>
      </c>
      <c r="S336" s="19">
        <f>IF($F336&lt;&gt;"OK","",H336*TarifaHora)</f>
        <v/>
      </c>
      <c r="T336" s="10">
        <f>IF($F336&lt;&gt;"OK","",IF(COUNTIFS($A$2:$A336,$A336,$F$2:$F336,"OK")=1,MAX($T$1:$T335)+1,""))</f>
        <v/>
      </c>
    </row>
    <row r="337">
      <c r="A337" s="11" t="n"/>
      <c r="B337" s="11" t="n"/>
      <c r="C337" s="11" t="n"/>
      <c r="D337" s="11" t="n"/>
      <c r="E337" s="11" t="n"/>
      <c r="F337" s="10">
        <f>IF(AND($A337="",$B337="",$C337=""),"",IF($A337="","⚠ Falta hito",IF(ISNA(MATCH($C337,Cat_Nombre,0)),"⚠ Categoría inválida","OK")))</f>
        <v/>
      </c>
      <c r="G337" s="16">
        <f>IF($F337&lt;&gt;"OK","",IF(UPPER(TRIM($D337))="NO",INDEX(Cat_HMax,MATCH($C337,Cat_Nombre,0)),INDEX(Cat_HMin,MATCH($C337,Cat_Nombre,0))))</f>
        <v/>
      </c>
      <c r="H337" s="16">
        <f>IF($F337&lt;&gt;"OK","",INDEX(Cat_HMax,MATCH($C337,Cat_Nombre,0)))</f>
        <v/>
      </c>
      <c r="I337" s="16">
        <f>IF($F337&lt;&gt;"OK","",(G337+H337)/2)</f>
        <v/>
      </c>
      <c r="J337" s="16">
        <f>IF($F337&lt;&gt;"OK","",G337/HorasDia)</f>
        <v/>
      </c>
      <c r="K337" s="16">
        <f>IF($F337&lt;&gt;"OK","",I337/HorasDia)</f>
        <v/>
      </c>
      <c r="L337" s="16">
        <f>IF($F337&lt;&gt;"OK","",H337/HorasDia)</f>
        <v/>
      </c>
      <c r="M337" s="17">
        <f>IF($F337&lt;&gt;"OK","",IF(UPPER(TRIM($D337))="NO",INDEX(Cat_TMax,MATCH($C337,Cat_Nombre,0)),INDEX(Cat_TMin,MATCH($C337,Cat_Nombre,0))))</f>
        <v/>
      </c>
      <c r="N337" s="17">
        <f>IF($F337&lt;&gt;"OK","",INDEX(Cat_TMax,MATCH($C337,Cat_Nombre,0)))</f>
        <v/>
      </c>
      <c r="O337" s="18">
        <f>IF($F337&lt;&gt;"OK","",INDEX(Cat_POpus,MATCH($C337,Cat_Nombre,0)))</f>
        <v/>
      </c>
      <c r="P337" s="19">
        <f>IF($F337&lt;&gt;"OK","",M337/1000000*((1-O337)*UsdM_Sonnet+O337*UsdM_Opus))</f>
        <v/>
      </c>
      <c r="Q337" s="19">
        <f>IF($F337&lt;&gt;"OK","",N337/1000000*((1-O337)*UsdM_Sonnet+O337*UsdM_Opus))</f>
        <v/>
      </c>
      <c r="R337" s="19">
        <f>IF($F337&lt;&gt;"OK","",G337*TarifaHora)</f>
        <v/>
      </c>
      <c r="S337" s="19">
        <f>IF($F337&lt;&gt;"OK","",H337*TarifaHora)</f>
        <v/>
      </c>
      <c r="T337" s="10">
        <f>IF($F337&lt;&gt;"OK","",IF(COUNTIFS($A$2:$A337,$A337,$F$2:$F337,"OK")=1,MAX($T$1:$T336)+1,""))</f>
        <v/>
      </c>
    </row>
    <row r="338">
      <c r="A338" s="11" t="n"/>
      <c r="B338" s="11" t="n"/>
      <c r="C338" s="11" t="n"/>
      <c r="D338" s="11" t="n"/>
      <c r="E338" s="11" t="n"/>
      <c r="F338" s="10">
        <f>IF(AND($A338="",$B338="",$C338=""),"",IF($A338="","⚠ Falta hito",IF(ISNA(MATCH($C338,Cat_Nombre,0)),"⚠ Categoría inválida","OK")))</f>
        <v/>
      </c>
      <c r="G338" s="16">
        <f>IF($F338&lt;&gt;"OK","",IF(UPPER(TRIM($D338))="NO",INDEX(Cat_HMax,MATCH($C338,Cat_Nombre,0)),INDEX(Cat_HMin,MATCH($C338,Cat_Nombre,0))))</f>
        <v/>
      </c>
      <c r="H338" s="16">
        <f>IF($F338&lt;&gt;"OK","",INDEX(Cat_HMax,MATCH($C338,Cat_Nombre,0)))</f>
        <v/>
      </c>
      <c r="I338" s="16">
        <f>IF($F338&lt;&gt;"OK","",(G338+H338)/2)</f>
        <v/>
      </c>
      <c r="J338" s="16">
        <f>IF($F338&lt;&gt;"OK","",G338/HorasDia)</f>
        <v/>
      </c>
      <c r="K338" s="16">
        <f>IF($F338&lt;&gt;"OK","",I338/HorasDia)</f>
        <v/>
      </c>
      <c r="L338" s="16">
        <f>IF($F338&lt;&gt;"OK","",H338/HorasDia)</f>
        <v/>
      </c>
      <c r="M338" s="17">
        <f>IF($F338&lt;&gt;"OK","",IF(UPPER(TRIM($D338))="NO",INDEX(Cat_TMax,MATCH($C338,Cat_Nombre,0)),INDEX(Cat_TMin,MATCH($C338,Cat_Nombre,0))))</f>
        <v/>
      </c>
      <c r="N338" s="17">
        <f>IF($F338&lt;&gt;"OK","",INDEX(Cat_TMax,MATCH($C338,Cat_Nombre,0)))</f>
        <v/>
      </c>
      <c r="O338" s="18">
        <f>IF($F338&lt;&gt;"OK","",INDEX(Cat_POpus,MATCH($C338,Cat_Nombre,0)))</f>
        <v/>
      </c>
      <c r="P338" s="19">
        <f>IF($F338&lt;&gt;"OK","",M338/1000000*((1-O338)*UsdM_Sonnet+O338*UsdM_Opus))</f>
        <v/>
      </c>
      <c r="Q338" s="19">
        <f>IF($F338&lt;&gt;"OK","",N338/1000000*((1-O338)*UsdM_Sonnet+O338*UsdM_Opus))</f>
        <v/>
      </c>
      <c r="R338" s="19">
        <f>IF($F338&lt;&gt;"OK","",G338*TarifaHora)</f>
        <v/>
      </c>
      <c r="S338" s="19">
        <f>IF($F338&lt;&gt;"OK","",H338*TarifaHora)</f>
        <v/>
      </c>
      <c r="T338" s="10">
        <f>IF($F338&lt;&gt;"OK","",IF(COUNTIFS($A$2:$A338,$A338,$F$2:$F338,"OK")=1,MAX($T$1:$T337)+1,""))</f>
        <v/>
      </c>
    </row>
    <row r="339">
      <c r="A339" s="11" t="n"/>
      <c r="B339" s="11" t="n"/>
      <c r="C339" s="11" t="n"/>
      <c r="D339" s="11" t="n"/>
      <c r="E339" s="11" t="n"/>
      <c r="F339" s="10">
        <f>IF(AND($A339="",$B339="",$C339=""),"",IF($A339="","⚠ Falta hito",IF(ISNA(MATCH($C339,Cat_Nombre,0)),"⚠ Categoría inválida","OK")))</f>
        <v/>
      </c>
      <c r="G339" s="16">
        <f>IF($F339&lt;&gt;"OK","",IF(UPPER(TRIM($D339))="NO",INDEX(Cat_HMax,MATCH($C339,Cat_Nombre,0)),INDEX(Cat_HMin,MATCH($C339,Cat_Nombre,0))))</f>
        <v/>
      </c>
      <c r="H339" s="16">
        <f>IF($F339&lt;&gt;"OK","",INDEX(Cat_HMax,MATCH($C339,Cat_Nombre,0)))</f>
        <v/>
      </c>
      <c r="I339" s="16">
        <f>IF($F339&lt;&gt;"OK","",(G339+H339)/2)</f>
        <v/>
      </c>
      <c r="J339" s="16">
        <f>IF($F339&lt;&gt;"OK","",G339/HorasDia)</f>
        <v/>
      </c>
      <c r="K339" s="16">
        <f>IF($F339&lt;&gt;"OK","",I339/HorasDia)</f>
        <v/>
      </c>
      <c r="L339" s="16">
        <f>IF($F339&lt;&gt;"OK","",H339/HorasDia)</f>
        <v/>
      </c>
      <c r="M339" s="17">
        <f>IF($F339&lt;&gt;"OK","",IF(UPPER(TRIM($D339))="NO",INDEX(Cat_TMax,MATCH($C339,Cat_Nombre,0)),INDEX(Cat_TMin,MATCH($C339,Cat_Nombre,0))))</f>
        <v/>
      </c>
      <c r="N339" s="17">
        <f>IF($F339&lt;&gt;"OK","",INDEX(Cat_TMax,MATCH($C339,Cat_Nombre,0)))</f>
        <v/>
      </c>
      <c r="O339" s="18">
        <f>IF($F339&lt;&gt;"OK","",INDEX(Cat_POpus,MATCH($C339,Cat_Nombre,0)))</f>
        <v/>
      </c>
      <c r="P339" s="19">
        <f>IF($F339&lt;&gt;"OK","",M339/1000000*((1-O339)*UsdM_Sonnet+O339*UsdM_Opus))</f>
        <v/>
      </c>
      <c r="Q339" s="19">
        <f>IF($F339&lt;&gt;"OK","",N339/1000000*((1-O339)*UsdM_Sonnet+O339*UsdM_Opus))</f>
        <v/>
      </c>
      <c r="R339" s="19">
        <f>IF($F339&lt;&gt;"OK","",G339*TarifaHora)</f>
        <v/>
      </c>
      <c r="S339" s="19">
        <f>IF($F339&lt;&gt;"OK","",H339*TarifaHora)</f>
        <v/>
      </c>
      <c r="T339" s="10">
        <f>IF($F339&lt;&gt;"OK","",IF(COUNTIFS($A$2:$A339,$A339,$F$2:$F339,"OK")=1,MAX($T$1:$T338)+1,""))</f>
        <v/>
      </c>
    </row>
    <row r="340">
      <c r="A340" s="11" t="n"/>
      <c r="B340" s="11" t="n"/>
      <c r="C340" s="11" t="n"/>
      <c r="D340" s="11" t="n"/>
      <c r="E340" s="11" t="n"/>
      <c r="F340" s="10">
        <f>IF(AND($A340="",$B340="",$C340=""),"",IF($A340="","⚠ Falta hito",IF(ISNA(MATCH($C340,Cat_Nombre,0)),"⚠ Categoría inválida","OK")))</f>
        <v/>
      </c>
      <c r="G340" s="16">
        <f>IF($F340&lt;&gt;"OK","",IF(UPPER(TRIM($D340))="NO",INDEX(Cat_HMax,MATCH($C340,Cat_Nombre,0)),INDEX(Cat_HMin,MATCH($C340,Cat_Nombre,0))))</f>
        <v/>
      </c>
      <c r="H340" s="16">
        <f>IF($F340&lt;&gt;"OK","",INDEX(Cat_HMax,MATCH($C340,Cat_Nombre,0)))</f>
        <v/>
      </c>
      <c r="I340" s="16">
        <f>IF($F340&lt;&gt;"OK","",(G340+H340)/2)</f>
        <v/>
      </c>
      <c r="J340" s="16">
        <f>IF($F340&lt;&gt;"OK","",G340/HorasDia)</f>
        <v/>
      </c>
      <c r="K340" s="16">
        <f>IF($F340&lt;&gt;"OK","",I340/HorasDia)</f>
        <v/>
      </c>
      <c r="L340" s="16">
        <f>IF($F340&lt;&gt;"OK","",H340/HorasDia)</f>
        <v/>
      </c>
      <c r="M340" s="17">
        <f>IF($F340&lt;&gt;"OK","",IF(UPPER(TRIM($D340))="NO",INDEX(Cat_TMax,MATCH($C340,Cat_Nombre,0)),INDEX(Cat_TMin,MATCH($C340,Cat_Nombre,0))))</f>
        <v/>
      </c>
      <c r="N340" s="17">
        <f>IF($F340&lt;&gt;"OK","",INDEX(Cat_TMax,MATCH($C340,Cat_Nombre,0)))</f>
        <v/>
      </c>
      <c r="O340" s="18">
        <f>IF($F340&lt;&gt;"OK","",INDEX(Cat_POpus,MATCH($C340,Cat_Nombre,0)))</f>
        <v/>
      </c>
      <c r="P340" s="19">
        <f>IF($F340&lt;&gt;"OK","",M340/1000000*((1-O340)*UsdM_Sonnet+O340*UsdM_Opus))</f>
        <v/>
      </c>
      <c r="Q340" s="19">
        <f>IF($F340&lt;&gt;"OK","",N340/1000000*((1-O340)*UsdM_Sonnet+O340*UsdM_Opus))</f>
        <v/>
      </c>
      <c r="R340" s="19">
        <f>IF($F340&lt;&gt;"OK","",G340*TarifaHora)</f>
        <v/>
      </c>
      <c r="S340" s="19">
        <f>IF($F340&lt;&gt;"OK","",H340*TarifaHora)</f>
        <v/>
      </c>
      <c r="T340" s="10">
        <f>IF($F340&lt;&gt;"OK","",IF(COUNTIFS($A$2:$A340,$A340,$F$2:$F340,"OK")=1,MAX($T$1:$T339)+1,""))</f>
        <v/>
      </c>
    </row>
    <row r="341">
      <c r="A341" s="11" t="n"/>
      <c r="B341" s="11" t="n"/>
      <c r="C341" s="11" t="n"/>
      <c r="D341" s="11" t="n"/>
      <c r="E341" s="11" t="n"/>
      <c r="F341" s="10">
        <f>IF(AND($A341="",$B341="",$C341=""),"",IF($A341="","⚠ Falta hito",IF(ISNA(MATCH($C341,Cat_Nombre,0)),"⚠ Categoría inválida","OK")))</f>
        <v/>
      </c>
      <c r="G341" s="16">
        <f>IF($F341&lt;&gt;"OK","",IF(UPPER(TRIM($D341))="NO",INDEX(Cat_HMax,MATCH($C341,Cat_Nombre,0)),INDEX(Cat_HMin,MATCH($C341,Cat_Nombre,0))))</f>
        <v/>
      </c>
      <c r="H341" s="16">
        <f>IF($F341&lt;&gt;"OK","",INDEX(Cat_HMax,MATCH($C341,Cat_Nombre,0)))</f>
        <v/>
      </c>
      <c r="I341" s="16">
        <f>IF($F341&lt;&gt;"OK","",(G341+H341)/2)</f>
        <v/>
      </c>
      <c r="J341" s="16">
        <f>IF($F341&lt;&gt;"OK","",G341/HorasDia)</f>
        <v/>
      </c>
      <c r="K341" s="16">
        <f>IF($F341&lt;&gt;"OK","",I341/HorasDia)</f>
        <v/>
      </c>
      <c r="L341" s="16">
        <f>IF($F341&lt;&gt;"OK","",H341/HorasDia)</f>
        <v/>
      </c>
      <c r="M341" s="17">
        <f>IF($F341&lt;&gt;"OK","",IF(UPPER(TRIM($D341))="NO",INDEX(Cat_TMax,MATCH($C341,Cat_Nombre,0)),INDEX(Cat_TMin,MATCH($C341,Cat_Nombre,0))))</f>
        <v/>
      </c>
      <c r="N341" s="17">
        <f>IF($F341&lt;&gt;"OK","",INDEX(Cat_TMax,MATCH($C341,Cat_Nombre,0)))</f>
        <v/>
      </c>
      <c r="O341" s="18">
        <f>IF($F341&lt;&gt;"OK","",INDEX(Cat_POpus,MATCH($C341,Cat_Nombre,0)))</f>
        <v/>
      </c>
      <c r="P341" s="19">
        <f>IF($F341&lt;&gt;"OK","",M341/1000000*((1-O341)*UsdM_Sonnet+O341*UsdM_Opus))</f>
        <v/>
      </c>
      <c r="Q341" s="19">
        <f>IF($F341&lt;&gt;"OK","",N341/1000000*((1-O341)*UsdM_Sonnet+O341*UsdM_Opus))</f>
        <v/>
      </c>
      <c r="R341" s="19">
        <f>IF($F341&lt;&gt;"OK","",G341*TarifaHora)</f>
        <v/>
      </c>
      <c r="S341" s="19">
        <f>IF($F341&lt;&gt;"OK","",H341*TarifaHora)</f>
        <v/>
      </c>
      <c r="T341" s="10">
        <f>IF($F341&lt;&gt;"OK","",IF(COUNTIFS($A$2:$A341,$A341,$F$2:$F341,"OK")=1,MAX($T$1:$T340)+1,""))</f>
        <v/>
      </c>
    </row>
    <row r="342">
      <c r="A342" s="11" t="n"/>
      <c r="B342" s="11" t="n"/>
      <c r="C342" s="11" t="n"/>
      <c r="D342" s="11" t="n"/>
      <c r="E342" s="11" t="n"/>
      <c r="F342" s="10">
        <f>IF(AND($A342="",$B342="",$C342=""),"",IF($A342="","⚠ Falta hito",IF(ISNA(MATCH($C342,Cat_Nombre,0)),"⚠ Categoría inválida","OK")))</f>
        <v/>
      </c>
      <c r="G342" s="16">
        <f>IF($F342&lt;&gt;"OK","",IF(UPPER(TRIM($D342))="NO",INDEX(Cat_HMax,MATCH($C342,Cat_Nombre,0)),INDEX(Cat_HMin,MATCH($C342,Cat_Nombre,0))))</f>
        <v/>
      </c>
      <c r="H342" s="16">
        <f>IF($F342&lt;&gt;"OK","",INDEX(Cat_HMax,MATCH($C342,Cat_Nombre,0)))</f>
        <v/>
      </c>
      <c r="I342" s="16">
        <f>IF($F342&lt;&gt;"OK","",(G342+H342)/2)</f>
        <v/>
      </c>
      <c r="J342" s="16">
        <f>IF($F342&lt;&gt;"OK","",G342/HorasDia)</f>
        <v/>
      </c>
      <c r="K342" s="16">
        <f>IF($F342&lt;&gt;"OK","",I342/HorasDia)</f>
        <v/>
      </c>
      <c r="L342" s="16">
        <f>IF($F342&lt;&gt;"OK","",H342/HorasDia)</f>
        <v/>
      </c>
      <c r="M342" s="17">
        <f>IF($F342&lt;&gt;"OK","",IF(UPPER(TRIM($D342))="NO",INDEX(Cat_TMax,MATCH($C342,Cat_Nombre,0)),INDEX(Cat_TMin,MATCH($C342,Cat_Nombre,0))))</f>
        <v/>
      </c>
      <c r="N342" s="17">
        <f>IF($F342&lt;&gt;"OK","",INDEX(Cat_TMax,MATCH($C342,Cat_Nombre,0)))</f>
        <v/>
      </c>
      <c r="O342" s="18">
        <f>IF($F342&lt;&gt;"OK","",INDEX(Cat_POpus,MATCH($C342,Cat_Nombre,0)))</f>
        <v/>
      </c>
      <c r="P342" s="19">
        <f>IF($F342&lt;&gt;"OK","",M342/1000000*((1-O342)*UsdM_Sonnet+O342*UsdM_Opus))</f>
        <v/>
      </c>
      <c r="Q342" s="19">
        <f>IF($F342&lt;&gt;"OK","",N342/1000000*((1-O342)*UsdM_Sonnet+O342*UsdM_Opus))</f>
        <v/>
      </c>
      <c r="R342" s="19">
        <f>IF($F342&lt;&gt;"OK","",G342*TarifaHora)</f>
        <v/>
      </c>
      <c r="S342" s="19">
        <f>IF($F342&lt;&gt;"OK","",H342*TarifaHora)</f>
        <v/>
      </c>
      <c r="T342" s="10">
        <f>IF($F342&lt;&gt;"OK","",IF(COUNTIFS($A$2:$A342,$A342,$F$2:$F342,"OK")=1,MAX($T$1:$T341)+1,""))</f>
        <v/>
      </c>
    </row>
    <row r="343">
      <c r="A343" s="11" t="n"/>
      <c r="B343" s="11" t="n"/>
      <c r="C343" s="11" t="n"/>
      <c r="D343" s="11" t="n"/>
      <c r="E343" s="11" t="n"/>
      <c r="F343" s="10">
        <f>IF(AND($A343="",$B343="",$C343=""),"",IF($A343="","⚠ Falta hito",IF(ISNA(MATCH($C343,Cat_Nombre,0)),"⚠ Categoría inválida","OK")))</f>
        <v/>
      </c>
      <c r="G343" s="16">
        <f>IF($F343&lt;&gt;"OK","",IF(UPPER(TRIM($D343))="NO",INDEX(Cat_HMax,MATCH($C343,Cat_Nombre,0)),INDEX(Cat_HMin,MATCH($C343,Cat_Nombre,0))))</f>
        <v/>
      </c>
      <c r="H343" s="16">
        <f>IF($F343&lt;&gt;"OK","",INDEX(Cat_HMax,MATCH($C343,Cat_Nombre,0)))</f>
        <v/>
      </c>
      <c r="I343" s="16">
        <f>IF($F343&lt;&gt;"OK","",(G343+H343)/2)</f>
        <v/>
      </c>
      <c r="J343" s="16">
        <f>IF($F343&lt;&gt;"OK","",G343/HorasDia)</f>
        <v/>
      </c>
      <c r="K343" s="16">
        <f>IF($F343&lt;&gt;"OK","",I343/HorasDia)</f>
        <v/>
      </c>
      <c r="L343" s="16">
        <f>IF($F343&lt;&gt;"OK","",H343/HorasDia)</f>
        <v/>
      </c>
      <c r="M343" s="17">
        <f>IF($F343&lt;&gt;"OK","",IF(UPPER(TRIM($D343))="NO",INDEX(Cat_TMax,MATCH($C343,Cat_Nombre,0)),INDEX(Cat_TMin,MATCH($C343,Cat_Nombre,0))))</f>
        <v/>
      </c>
      <c r="N343" s="17">
        <f>IF($F343&lt;&gt;"OK","",INDEX(Cat_TMax,MATCH($C343,Cat_Nombre,0)))</f>
        <v/>
      </c>
      <c r="O343" s="18">
        <f>IF($F343&lt;&gt;"OK","",INDEX(Cat_POpus,MATCH($C343,Cat_Nombre,0)))</f>
        <v/>
      </c>
      <c r="P343" s="19">
        <f>IF($F343&lt;&gt;"OK","",M343/1000000*((1-O343)*UsdM_Sonnet+O343*UsdM_Opus))</f>
        <v/>
      </c>
      <c r="Q343" s="19">
        <f>IF($F343&lt;&gt;"OK","",N343/1000000*((1-O343)*UsdM_Sonnet+O343*UsdM_Opus))</f>
        <v/>
      </c>
      <c r="R343" s="19">
        <f>IF($F343&lt;&gt;"OK","",G343*TarifaHora)</f>
        <v/>
      </c>
      <c r="S343" s="19">
        <f>IF($F343&lt;&gt;"OK","",H343*TarifaHora)</f>
        <v/>
      </c>
      <c r="T343" s="10">
        <f>IF($F343&lt;&gt;"OK","",IF(COUNTIFS($A$2:$A343,$A343,$F$2:$F343,"OK")=1,MAX($T$1:$T342)+1,""))</f>
        <v/>
      </c>
    </row>
    <row r="344">
      <c r="A344" s="11" t="n"/>
      <c r="B344" s="11" t="n"/>
      <c r="C344" s="11" t="n"/>
      <c r="D344" s="11" t="n"/>
      <c r="E344" s="11" t="n"/>
      <c r="F344" s="10">
        <f>IF(AND($A344="",$B344="",$C344=""),"",IF($A344="","⚠ Falta hito",IF(ISNA(MATCH($C344,Cat_Nombre,0)),"⚠ Categoría inválida","OK")))</f>
        <v/>
      </c>
      <c r="G344" s="16">
        <f>IF($F344&lt;&gt;"OK","",IF(UPPER(TRIM($D344))="NO",INDEX(Cat_HMax,MATCH($C344,Cat_Nombre,0)),INDEX(Cat_HMin,MATCH($C344,Cat_Nombre,0))))</f>
        <v/>
      </c>
      <c r="H344" s="16">
        <f>IF($F344&lt;&gt;"OK","",INDEX(Cat_HMax,MATCH($C344,Cat_Nombre,0)))</f>
        <v/>
      </c>
      <c r="I344" s="16">
        <f>IF($F344&lt;&gt;"OK","",(G344+H344)/2)</f>
        <v/>
      </c>
      <c r="J344" s="16">
        <f>IF($F344&lt;&gt;"OK","",G344/HorasDia)</f>
        <v/>
      </c>
      <c r="K344" s="16">
        <f>IF($F344&lt;&gt;"OK","",I344/HorasDia)</f>
        <v/>
      </c>
      <c r="L344" s="16">
        <f>IF($F344&lt;&gt;"OK","",H344/HorasDia)</f>
        <v/>
      </c>
      <c r="M344" s="17">
        <f>IF($F344&lt;&gt;"OK","",IF(UPPER(TRIM($D344))="NO",INDEX(Cat_TMax,MATCH($C344,Cat_Nombre,0)),INDEX(Cat_TMin,MATCH($C344,Cat_Nombre,0))))</f>
        <v/>
      </c>
      <c r="N344" s="17">
        <f>IF($F344&lt;&gt;"OK","",INDEX(Cat_TMax,MATCH($C344,Cat_Nombre,0)))</f>
        <v/>
      </c>
      <c r="O344" s="18">
        <f>IF($F344&lt;&gt;"OK","",INDEX(Cat_POpus,MATCH($C344,Cat_Nombre,0)))</f>
        <v/>
      </c>
      <c r="P344" s="19">
        <f>IF($F344&lt;&gt;"OK","",M344/1000000*((1-O344)*UsdM_Sonnet+O344*UsdM_Opus))</f>
        <v/>
      </c>
      <c r="Q344" s="19">
        <f>IF($F344&lt;&gt;"OK","",N344/1000000*((1-O344)*UsdM_Sonnet+O344*UsdM_Opus))</f>
        <v/>
      </c>
      <c r="R344" s="19">
        <f>IF($F344&lt;&gt;"OK","",G344*TarifaHora)</f>
        <v/>
      </c>
      <c r="S344" s="19">
        <f>IF($F344&lt;&gt;"OK","",H344*TarifaHora)</f>
        <v/>
      </c>
      <c r="T344" s="10">
        <f>IF($F344&lt;&gt;"OK","",IF(COUNTIFS($A$2:$A344,$A344,$F$2:$F344,"OK")=1,MAX($T$1:$T343)+1,""))</f>
        <v/>
      </c>
    </row>
    <row r="345">
      <c r="A345" s="11" t="n"/>
      <c r="B345" s="11" t="n"/>
      <c r="C345" s="11" t="n"/>
      <c r="D345" s="11" t="n"/>
      <c r="E345" s="11" t="n"/>
      <c r="F345" s="10">
        <f>IF(AND($A345="",$B345="",$C345=""),"",IF($A345="","⚠ Falta hito",IF(ISNA(MATCH($C345,Cat_Nombre,0)),"⚠ Categoría inválida","OK")))</f>
        <v/>
      </c>
      <c r="G345" s="16">
        <f>IF($F345&lt;&gt;"OK","",IF(UPPER(TRIM($D345))="NO",INDEX(Cat_HMax,MATCH($C345,Cat_Nombre,0)),INDEX(Cat_HMin,MATCH($C345,Cat_Nombre,0))))</f>
        <v/>
      </c>
      <c r="H345" s="16">
        <f>IF($F345&lt;&gt;"OK","",INDEX(Cat_HMax,MATCH($C345,Cat_Nombre,0)))</f>
        <v/>
      </c>
      <c r="I345" s="16">
        <f>IF($F345&lt;&gt;"OK","",(G345+H345)/2)</f>
        <v/>
      </c>
      <c r="J345" s="16">
        <f>IF($F345&lt;&gt;"OK","",G345/HorasDia)</f>
        <v/>
      </c>
      <c r="K345" s="16">
        <f>IF($F345&lt;&gt;"OK","",I345/HorasDia)</f>
        <v/>
      </c>
      <c r="L345" s="16">
        <f>IF($F345&lt;&gt;"OK","",H345/HorasDia)</f>
        <v/>
      </c>
      <c r="M345" s="17">
        <f>IF($F345&lt;&gt;"OK","",IF(UPPER(TRIM($D345))="NO",INDEX(Cat_TMax,MATCH($C345,Cat_Nombre,0)),INDEX(Cat_TMin,MATCH($C345,Cat_Nombre,0))))</f>
        <v/>
      </c>
      <c r="N345" s="17">
        <f>IF($F345&lt;&gt;"OK","",INDEX(Cat_TMax,MATCH($C345,Cat_Nombre,0)))</f>
        <v/>
      </c>
      <c r="O345" s="18">
        <f>IF($F345&lt;&gt;"OK","",INDEX(Cat_POpus,MATCH($C345,Cat_Nombre,0)))</f>
        <v/>
      </c>
      <c r="P345" s="19">
        <f>IF($F345&lt;&gt;"OK","",M345/1000000*((1-O345)*UsdM_Sonnet+O345*UsdM_Opus))</f>
        <v/>
      </c>
      <c r="Q345" s="19">
        <f>IF($F345&lt;&gt;"OK","",N345/1000000*((1-O345)*UsdM_Sonnet+O345*UsdM_Opus))</f>
        <v/>
      </c>
      <c r="R345" s="19">
        <f>IF($F345&lt;&gt;"OK","",G345*TarifaHora)</f>
        <v/>
      </c>
      <c r="S345" s="19">
        <f>IF($F345&lt;&gt;"OK","",H345*TarifaHora)</f>
        <v/>
      </c>
      <c r="T345" s="10">
        <f>IF($F345&lt;&gt;"OK","",IF(COUNTIFS($A$2:$A345,$A345,$F$2:$F345,"OK")=1,MAX($T$1:$T344)+1,""))</f>
        <v/>
      </c>
    </row>
    <row r="346">
      <c r="A346" s="11" t="n"/>
      <c r="B346" s="11" t="n"/>
      <c r="C346" s="11" t="n"/>
      <c r="D346" s="11" t="n"/>
      <c r="E346" s="11" t="n"/>
      <c r="F346" s="10">
        <f>IF(AND($A346="",$B346="",$C346=""),"",IF($A346="","⚠ Falta hito",IF(ISNA(MATCH($C346,Cat_Nombre,0)),"⚠ Categoría inválida","OK")))</f>
        <v/>
      </c>
      <c r="G346" s="16">
        <f>IF($F346&lt;&gt;"OK","",IF(UPPER(TRIM($D346))="NO",INDEX(Cat_HMax,MATCH($C346,Cat_Nombre,0)),INDEX(Cat_HMin,MATCH($C346,Cat_Nombre,0))))</f>
        <v/>
      </c>
      <c r="H346" s="16">
        <f>IF($F346&lt;&gt;"OK","",INDEX(Cat_HMax,MATCH($C346,Cat_Nombre,0)))</f>
        <v/>
      </c>
      <c r="I346" s="16">
        <f>IF($F346&lt;&gt;"OK","",(G346+H346)/2)</f>
        <v/>
      </c>
      <c r="J346" s="16">
        <f>IF($F346&lt;&gt;"OK","",G346/HorasDia)</f>
        <v/>
      </c>
      <c r="K346" s="16">
        <f>IF($F346&lt;&gt;"OK","",I346/HorasDia)</f>
        <v/>
      </c>
      <c r="L346" s="16">
        <f>IF($F346&lt;&gt;"OK","",H346/HorasDia)</f>
        <v/>
      </c>
      <c r="M346" s="17">
        <f>IF($F346&lt;&gt;"OK","",IF(UPPER(TRIM($D346))="NO",INDEX(Cat_TMax,MATCH($C346,Cat_Nombre,0)),INDEX(Cat_TMin,MATCH($C346,Cat_Nombre,0))))</f>
        <v/>
      </c>
      <c r="N346" s="17">
        <f>IF($F346&lt;&gt;"OK","",INDEX(Cat_TMax,MATCH($C346,Cat_Nombre,0)))</f>
        <v/>
      </c>
      <c r="O346" s="18">
        <f>IF($F346&lt;&gt;"OK","",INDEX(Cat_POpus,MATCH($C346,Cat_Nombre,0)))</f>
        <v/>
      </c>
      <c r="P346" s="19">
        <f>IF($F346&lt;&gt;"OK","",M346/1000000*((1-O346)*UsdM_Sonnet+O346*UsdM_Opus))</f>
        <v/>
      </c>
      <c r="Q346" s="19">
        <f>IF($F346&lt;&gt;"OK","",N346/1000000*((1-O346)*UsdM_Sonnet+O346*UsdM_Opus))</f>
        <v/>
      </c>
      <c r="R346" s="19">
        <f>IF($F346&lt;&gt;"OK","",G346*TarifaHora)</f>
        <v/>
      </c>
      <c r="S346" s="19">
        <f>IF($F346&lt;&gt;"OK","",H346*TarifaHora)</f>
        <v/>
      </c>
      <c r="T346" s="10">
        <f>IF($F346&lt;&gt;"OK","",IF(COUNTIFS($A$2:$A346,$A346,$F$2:$F346,"OK")=1,MAX($T$1:$T345)+1,""))</f>
        <v/>
      </c>
    </row>
    <row r="347">
      <c r="A347" s="11" t="n"/>
      <c r="B347" s="11" t="n"/>
      <c r="C347" s="11" t="n"/>
      <c r="D347" s="11" t="n"/>
      <c r="E347" s="11" t="n"/>
      <c r="F347" s="10">
        <f>IF(AND($A347="",$B347="",$C347=""),"",IF($A347="","⚠ Falta hito",IF(ISNA(MATCH($C347,Cat_Nombre,0)),"⚠ Categoría inválida","OK")))</f>
        <v/>
      </c>
      <c r="G347" s="16">
        <f>IF($F347&lt;&gt;"OK","",IF(UPPER(TRIM($D347))="NO",INDEX(Cat_HMax,MATCH($C347,Cat_Nombre,0)),INDEX(Cat_HMin,MATCH($C347,Cat_Nombre,0))))</f>
        <v/>
      </c>
      <c r="H347" s="16">
        <f>IF($F347&lt;&gt;"OK","",INDEX(Cat_HMax,MATCH($C347,Cat_Nombre,0)))</f>
        <v/>
      </c>
      <c r="I347" s="16">
        <f>IF($F347&lt;&gt;"OK","",(G347+H347)/2)</f>
        <v/>
      </c>
      <c r="J347" s="16">
        <f>IF($F347&lt;&gt;"OK","",G347/HorasDia)</f>
        <v/>
      </c>
      <c r="K347" s="16">
        <f>IF($F347&lt;&gt;"OK","",I347/HorasDia)</f>
        <v/>
      </c>
      <c r="L347" s="16">
        <f>IF($F347&lt;&gt;"OK","",H347/HorasDia)</f>
        <v/>
      </c>
      <c r="M347" s="17">
        <f>IF($F347&lt;&gt;"OK","",IF(UPPER(TRIM($D347))="NO",INDEX(Cat_TMax,MATCH($C347,Cat_Nombre,0)),INDEX(Cat_TMin,MATCH($C347,Cat_Nombre,0))))</f>
        <v/>
      </c>
      <c r="N347" s="17">
        <f>IF($F347&lt;&gt;"OK","",INDEX(Cat_TMax,MATCH($C347,Cat_Nombre,0)))</f>
        <v/>
      </c>
      <c r="O347" s="18">
        <f>IF($F347&lt;&gt;"OK","",INDEX(Cat_POpus,MATCH($C347,Cat_Nombre,0)))</f>
        <v/>
      </c>
      <c r="P347" s="19">
        <f>IF($F347&lt;&gt;"OK","",M347/1000000*((1-O347)*UsdM_Sonnet+O347*UsdM_Opus))</f>
        <v/>
      </c>
      <c r="Q347" s="19">
        <f>IF($F347&lt;&gt;"OK","",N347/1000000*((1-O347)*UsdM_Sonnet+O347*UsdM_Opus))</f>
        <v/>
      </c>
      <c r="R347" s="19">
        <f>IF($F347&lt;&gt;"OK","",G347*TarifaHora)</f>
        <v/>
      </c>
      <c r="S347" s="19">
        <f>IF($F347&lt;&gt;"OK","",H347*TarifaHora)</f>
        <v/>
      </c>
      <c r="T347" s="10">
        <f>IF($F347&lt;&gt;"OK","",IF(COUNTIFS($A$2:$A347,$A347,$F$2:$F347,"OK")=1,MAX($T$1:$T346)+1,""))</f>
        <v/>
      </c>
    </row>
    <row r="348">
      <c r="A348" s="11" t="n"/>
      <c r="B348" s="11" t="n"/>
      <c r="C348" s="11" t="n"/>
      <c r="D348" s="11" t="n"/>
      <c r="E348" s="11" t="n"/>
      <c r="F348" s="10">
        <f>IF(AND($A348="",$B348="",$C348=""),"",IF($A348="","⚠ Falta hito",IF(ISNA(MATCH($C348,Cat_Nombre,0)),"⚠ Categoría inválida","OK")))</f>
        <v/>
      </c>
      <c r="G348" s="16">
        <f>IF($F348&lt;&gt;"OK","",IF(UPPER(TRIM($D348))="NO",INDEX(Cat_HMax,MATCH($C348,Cat_Nombre,0)),INDEX(Cat_HMin,MATCH($C348,Cat_Nombre,0))))</f>
        <v/>
      </c>
      <c r="H348" s="16">
        <f>IF($F348&lt;&gt;"OK","",INDEX(Cat_HMax,MATCH($C348,Cat_Nombre,0)))</f>
        <v/>
      </c>
      <c r="I348" s="16">
        <f>IF($F348&lt;&gt;"OK","",(G348+H348)/2)</f>
        <v/>
      </c>
      <c r="J348" s="16">
        <f>IF($F348&lt;&gt;"OK","",G348/HorasDia)</f>
        <v/>
      </c>
      <c r="K348" s="16">
        <f>IF($F348&lt;&gt;"OK","",I348/HorasDia)</f>
        <v/>
      </c>
      <c r="L348" s="16">
        <f>IF($F348&lt;&gt;"OK","",H348/HorasDia)</f>
        <v/>
      </c>
      <c r="M348" s="17">
        <f>IF($F348&lt;&gt;"OK","",IF(UPPER(TRIM($D348))="NO",INDEX(Cat_TMax,MATCH($C348,Cat_Nombre,0)),INDEX(Cat_TMin,MATCH($C348,Cat_Nombre,0))))</f>
        <v/>
      </c>
      <c r="N348" s="17">
        <f>IF($F348&lt;&gt;"OK","",INDEX(Cat_TMax,MATCH($C348,Cat_Nombre,0)))</f>
        <v/>
      </c>
      <c r="O348" s="18">
        <f>IF($F348&lt;&gt;"OK","",INDEX(Cat_POpus,MATCH($C348,Cat_Nombre,0)))</f>
        <v/>
      </c>
      <c r="P348" s="19">
        <f>IF($F348&lt;&gt;"OK","",M348/1000000*((1-O348)*UsdM_Sonnet+O348*UsdM_Opus))</f>
        <v/>
      </c>
      <c r="Q348" s="19">
        <f>IF($F348&lt;&gt;"OK","",N348/1000000*((1-O348)*UsdM_Sonnet+O348*UsdM_Opus))</f>
        <v/>
      </c>
      <c r="R348" s="19">
        <f>IF($F348&lt;&gt;"OK","",G348*TarifaHora)</f>
        <v/>
      </c>
      <c r="S348" s="19">
        <f>IF($F348&lt;&gt;"OK","",H348*TarifaHora)</f>
        <v/>
      </c>
      <c r="T348" s="10">
        <f>IF($F348&lt;&gt;"OK","",IF(COUNTIFS($A$2:$A348,$A348,$F$2:$F348,"OK")=1,MAX($T$1:$T347)+1,""))</f>
        <v/>
      </c>
    </row>
    <row r="349">
      <c r="A349" s="11" t="n"/>
      <c r="B349" s="11" t="n"/>
      <c r="C349" s="11" t="n"/>
      <c r="D349" s="11" t="n"/>
      <c r="E349" s="11" t="n"/>
      <c r="F349" s="10">
        <f>IF(AND($A349="",$B349="",$C349=""),"",IF($A349="","⚠ Falta hito",IF(ISNA(MATCH($C349,Cat_Nombre,0)),"⚠ Categoría inválida","OK")))</f>
        <v/>
      </c>
      <c r="G349" s="16">
        <f>IF($F349&lt;&gt;"OK","",IF(UPPER(TRIM($D349))="NO",INDEX(Cat_HMax,MATCH($C349,Cat_Nombre,0)),INDEX(Cat_HMin,MATCH($C349,Cat_Nombre,0))))</f>
        <v/>
      </c>
      <c r="H349" s="16">
        <f>IF($F349&lt;&gt;"OK","",INDEX(Cat_HMax,MATCH($C349,Cat_Nombre,0)))</f>
        <v/>
      </c>
      <c r="I349" s="16">
        <f>IF($F349&lt;&gt;"OK","",(G349+H349)/2)</f>
        <v/>
      </c>
      <c r="J349" s="16">
        <f>IF($F349&lt;&gt;"OK","",G349/HorasDia)</f>
        <v/>
      </c>
      <c r="K349" s="16">
        <f>IF($F349&lt;&gt;"OK","",I349/HorasDia)</f>
        <v/>
      </c>
      <c r="L349" s="16">
        <f>IF($F349&lt;&gt;"OK","",H349/HorasDia)</f>
        <v/>
      </c>
      <c r="M349" s="17">
        <f>IF($F349&lt;&gt;"OK","",IF(UPPER(TRIM($D349))="NO",INDEX(Cat_TMax,MATCH($C349,Cat_Nombre,0)),INDEX(Cat_TMin,MATCH($C349,Cat_Nombre,0))))</f>
        <v/>
      </c>
      <c r="N349" s="17">
        <f>IF($F349&lt;&gt;"OK","",INDEX(Cat_TMax,MATCH($C349,Cat_Nombre,0)))</f>
        <v/>
      </c>
      <c r="O349" s="18">
        <f>IF($F349&lt;&gt;"OK","",INDEX(Cat_POpus,MATCH($C349,Cat_Nombre,0)))</f>
        <v/>
      </c>
      <c r="P349" s="19">
        <f>IF($F349&lt;&gt;"OK","",M349/1000000*((1-O349)*UsdM_Sonnet+O349*UsdM_Opus))</f>
        <v/>
      </c>
      <c r="Q349" s="19">
        <f>IF($F349&lt;&gt;"OK","",N349/1000000*((1-O349)*UsdM_Sonnet+O349*UsdM_Opus))</f>
        <v/>
      </c>
      <c r="R349" s="19">
        <f>IF($F349&lt;&gt;"OK","",G349*TarifaHora)</f>
        <v/>
      </c>
      <c r="S349" s="19">
        <f>IF($F349&lt;&gt;"OK","",H349*TarifaHora)</f>
        <v/>
      </c>
      <c r="T349" s="10">
        <f>IF($F349&lt;&gt;"OK","",IF(COUNTIFS($A$2:$A349,$A349,$F$2:$F349,"OK")=1,MAX($T$1:$T348)+1,""))</f>
        <v/>
      </c>
    </row>
    <row r="350">
      <c r="A350" s="11" t="n"/>
      <c r="B350" s="11" t="n"/>
      <c r="C350" s="11" t="n"/>
      <c r="D350" s="11" t="n"/>
      <c r="E350" s="11" t="n"/>
      <c r="F350" s="10">
        <f>IF(AND($A350="",$B350="",$C350=""),"",IF($A350="","⚠ Falta hito",IF(ISNA(MATCH($C350,Cat_Nombre,0)),"⚠ Categoría inválida","OK")))</f>
        <v/>
      </c>
      <c r="G350" s="16">
        <f>IF($F350&lt;&gt;"OK","",IF(UPPER(TRIM($D350))="NO",INDEX(Cat_HMax,MATCH($C350,Cat_Nombre,0)),INDEX(Cat_HMin,MATCH($C350,Cat_Nombre,0))))</f>
        <v/>
      </c>
      <c r="H350" s="16">
        <f>IF($F350&lt;&gt;"OK","",INDEX(Cat_HMax,MATCH($C350,Cat_Nombre,0)))</f>
        <v/>
      </c>
      <c r="I350" s="16">
        <f>IF($F350&lt;&gt;"OK","",(G350+H350)/2)</f>
        <v/>
      </c>
      <c r="J350" s="16">
        <f>IF($F350&lt;&gt;"OK","",G350/HorasDia)</f>
        <v/>
      </c>
      <c r="K350" s="16">
        <f>IF($F350&lt;&gt;"OK","",I350/HorasDia)</f>
        <v/>
      </c>
      <c r="L350" s="16">
        <f>IF($F350&lt;&gt;"OK","",H350/HorasDia)</f>
        <v/>
      </c>
      <c r="M350" s="17">
        <f>IF($F350&lt;&gt;"OK","",IF(UPPER(TRIM($D350))="NO",INDEX(Cat_TMax,MATCH($C350,Cat_Nombre,0)),INDEX(Cat_TMin,MATCH($C350,Cat_Nombre,0))))</f>
        <v/>
      </c>
      <c r="N350" s="17">
        <f>IF($F350&lt;&gt;"OK","",INDEX(Cat_TMax,MATCH($C350,Cat_Nombre,0)))</f>
        <v/>
      </c>
      <c r="O350" s="18">
        <f>IF($F350&lt;&gt;"OK","",INDEX(Cat_POpus,MATCH($C350,Cat_Nombre,0)))</f>
        <v/>
      </c>
      <c r="P350" s="19">
        <f>IF($F350&lt;&gt;"OK","",M350/1000000*((1-O350)*UsdM_Sonnet+O350*UsdM_Opus))</f>
        <v/>
      </c>
      <c r="Q350" s="19">
        <f>IF($F350&lt;&gt;"OK","",N350/1000000*((1-O350)*UsdM_Sonnet+O350*UsdM_Opus))</f>
        <v/>
      </c>
      <c r="R350" s="19">
        <f>IF($F350&lt;&gt;"OK","",G350*TarifaHora)</f>
        <v/>
      </c>
      <c r="S350" s="19">
        <f>IF($F350&lt;&gt;"OK","",H350*TarifaHora)</f>
        <v/>
      </c>
      <c r="T350" s="10">
        <f>IF($F350&lt;&gt;"OK","",IF(COUNTIFS($A$2:$A350,$A350,$F$2:$F350,"OK")=1,MAX($T$1:$T349)+1,""))</f>
        <v/>
      </c>
    </row>
    <row r="351">
      <c r="A351" s="11" t="n"/>
      <c r="B351" s="11" t="n"/>
      <c r="C351" s="11" t="n"/>
      <c r="D351" s="11" t="n"/>
      <c r="E351" s="11" t="n"/>
      <c r="F351" s="10">
        <f>IF(AND($A351="",$B351="",$C351=""),"",IF($A351="","⚠ Falta hito",IF(ISNA(MATCH($C351,Cat_Nombre,0)),"⚠ Categoría inválida","OK")))</f>
        <v/>
      </c>
      <c r="G351" s="16">
        <f>IF($F351&lt;&gt;"OK","",IF(UPPER(TRIM($D351))="NO",INDEX(Cat_HMax,MATCH($C351,Cat_Nombre,0)),INDEX(Cat_HMin,MATCH($C351,Cat_Nombre,0))))</f>
        <v/>
      </c>
      <c r="H351" s="16">
        <f>IF($F351&lt;&gt;"OK","",INDEX(Cat_HMax,MATCH($C351,Cat_Nombre,0)))</f>
        <v/>
      </c>
      <c r="I351" s="16">
        <f>IF($F351&lt;&gt;"OK","",(G351+H351)/2)</f>
        <v/>
      </c>
      <c r="J351" s="16">
        <f>IF($F351&lt;&gt;"OK","",G351/HorasDia)</f>
        <v/>
      </c>
      <c r="K351" s="16">
        <f>IF($F351&lt;&gt;"OK","",I351/HorasDia)</f>
        <v/>
      </c>
      <c r="L351" s="16">
        <f>IF($F351&lt;&gt;"OK","",H351/HorasDia)</f>
        <v/>
      </c>
      <c r="M351" s="17">
        <f>IF($F351&lt;&gt;"OK","",IF(UPPER(TRIM($D351))="NO",INDEX(Cat_TMax,MATCH($C351,Cat_Nombre,0)),INDEX(Cat_TMin,MATCH($C351,Cat_Nombre,0))))</f>
        <v/>
      </c>
      <c r="N351" s="17">
        <f>IF($F351&lt;&gt;"OK","",INDEX(Cat_TMax,MATCH($C351,Cat_Nombre,0)))</f>
        <v/>
      </c>
      <c r="O351" s="18">
        <f>IF($F351&lt;&gt;"OK","",INDEX(Cat_POpus,MATCH($C351,Cat_Nombre,0)))</f>
        <v/>
      </c>
      <c r="P351" s="19">
        <f>IF($F351&lt;&gt;"OK","",M351/1000000*((1-O351)*UsdM_Sonnet+O351*UsdM_Opus))</f>
        <v/>
      </c>
      <c r="Q351" s="19">
        <f>IF($F351&lt;&gt;"OK","",N351/1000000*((1-O351)*UsdM_Sonnet+O351*UsdM_Opus))</f>
        <v/>
      </c>
      <c r="R351" s="19">
        <f>IF($F351&lt;&gt;"OK","",G351*TarifaHora)</f>
        <v/>
      </c>
      <c r="S351" s="19">
        <f>IF($F351&lt;&gt;"OK","",H351*TarifaHora)</f>
        <v/>
      </c>
      <c r="T351" s="10">
        <f>IF($F351&lt;&gt;"OK","",IF(COUNTIFS($A$2:$A351,$A351,$F$2:$F351,"OK")=1,MAX($T$1:$T350)+1,""))</f>
        <v/>
      </c>
    </row>
    <row r="352">
      <c r="A352" s="11" t="n"/>
      <c r="B352" s="11" t="n"/>
      <c r="C352" s="11" t="n"/>
      <c r="D352" s="11" t="n"/>
      <c r="E352" s="11" t="n"/>
      <c r="F352" s="10">
        <f>IF(AND($A352="",$B352="",$C352=""),"",IF($A352="","⚠ Falta hito",IF(ISNA(MATCH($C352,Cat_Nombre,0)),"⚠ Categoría inválida","OK")))</f>
        <v/>
      </c>
      <c r="G352" s="16">
        <f>IF($F352&lt;&gt;"OK","",IF(UPPER(TRIM($D352))="NO",INDEX(Cat_HMax,MATCH($C352,Cat_Nombre,0)),INDEX(Cat_HMin,MATCH($C352,Cat_Nombre,0))))</f>
        <v/>
      </c>
      <c r="H352" s="16">
        <f>IF($F352&lt;&gt;"OK","",INDEX(Cat_HMax,MATCH($C352,Cat_Nombre,0)))</f>
        <v/>
      </c>
      <c r="I352" s="16">
        <f>IF($F352&lt;&gt;"OK","",(G352+H352)/2)</f>
        <v/>
      </c>
      <c r="J352" s="16">
        <f>IF($F352&lt;&gt;"OK","",G352/HorasDia)</f>
        <v/>
      </c>
      <c r="K352" s="16">
        <f>IF($F352&lt;&gt;"OK","",I352/HorasDia)</f>
        <v/>
      </c>
      <c r="L352" s="16">
        <f>IF($F352&lt;&gt;"OK","",H352/HorasDia)</f>
        <v/>
      </c>
      <c r="M352" s="17">
        <f>IF($F352&lt;&gt;"OK","",IF(UPPER(TRIM($D352))="NO",INDEX(Cat_TMax,MATCH($C352,Cat_Nombre,0)),INDEX(Cat_TMin,MATCH($C352,Cat_Nombre,0))))</f>
        <v/>
      </c>
      <c r="N352" s="17">
        <f>IF($F352&lt;&gt;"OK","",INDEX(Cat_TMax,MATCH($C352,Cat_Nombre,0)))</f>
        <v/>
      </c>
      <c r="O352" s="18">
        <f>IF($F352&lt;&gt;"OK","",INDEX(Cat_POpus,MATCH($C352,Cat_Nombre,0)))</f>
        <v/>
      </c>
      <c r="P352" s="19">
        <f>IF($F352&lt;&gt;"OK","",M352/1000000*((1-O352)*UsdM_Sonnet+O352*UsdM_Opus))</f>
        <v/>
      </c>
      <c r="Q352" s="19">
        <f>IF($F352&lt;&gt;"OK","",N352/1000000*((1-O352)*UsdM_Sonnet+O352*UsdM_Opus))</f>
        <v/>
      </c>
      <c r="R352" s="19">
        <f>IF($F352&lt;&gt;"OK","",G352*TarifaHora)</f>
        <v/>
      </c>
      <c r="S352" s="19">
        <f>IF($F352&lt;&gt;"OK","",H352*TarifaHora)</f>
        <v/>
      </c>
      <c r="T352" s="10">
        <f>IF($F352&lt;&gt;"OK","",IF(COUNTIFS($A$2:$A352,$A352,$F$2:$F352,"OK")=1,MAX($T$1:$T351)+1,""))</f>
        <v/>
      </c>
    </row>
    <row r="353">
      <c r="A353" s="11" t="n"/>
      <c r="B353" s="11" t="n"/>
      <c r="C353" s="11" t="n"/>
      <c r="D353" s="11" t="n"/>
      <c r="E353" s="11" t="n"/>
      <c r="F353" s="10">
        <f>IF(AND($A353="",$B353="",$C353=""),"",IF($A353="","⚠ Falta hito",IF(ISNA(MATCH($C353,Cat_Nombre,0)),"⚠ Categoría inválida","OK")))</f>
        <v/>
      </c>
      <c r="G353" s="16">
        <f>IF($F353&lt;&gt;"OK","",IF(UPPER(TRIM($D353))="NO",INDEX(Cat_HMax,MATCH($C353,Cat_Nombre,0)),INDEX(Cat_HMin,MATCH($C353,Cat_Nombre,0))))</f>
        <v/>
      </c>
      <c r="H353" s="16">
        <f>IF($F353&lt;&gt;"OK","",INDEX(Cat_HMax,MATCH($C353,Cat_Nombre,0)))</f>
        <v/>
      </c>
      <c r="I353" s="16">
        <f>IF($F353&lt;&gt;"OK","",(G353+H353)/2)</f>
        <v/>
      </c>
      <c r="J353" s="16">
        <f>IF($F353&lt;&gt;"OK","",G353/HorasDia)</f>
        <v/>
      </c>
      <c r="K353" s="16">
        <f>IF($F353&lt;&gt;"OK","",I353/HorasDia)</f>
        <v/>
      </c>
      <c r="L353" s="16">
        <f>IF($F353&lt;&gt;"OK","",H353/HorasDia)</f>
        <v/>
      </c>
      <c r="M353" s="17">
        <f>IF($F353&lt;&gt;"OK","",IF(UPPER(TRIM($D353))="NO",INDEX(Cat_TMax,MATCH($C353,Cat_Nombre,0)),INDEX(Cat_TMin,MATCH($C353,Cat_Nombre,0))))</f>
        <v/>
      </c>
      <c r="N353" s="17">
        <f>IF($F353&lt;&gt;"OK","",INDEX(Cat_TMax,MATCH($C353,Cat_Nombre,0)))</f>
        <v/>
      </c>
      <c r="O353" s="18">
        <f>IF($F353&lt;&gt;"OK","",INDEX(Cat_POpus,MATCH($C353,Cat_Nombre,0)))</f>
        <v/>
      </c>
      <c r="P353" s="19">
        <f>IF($F353&lt;&gt;"OK","",M353/1000000*((1-O353)*UsdM_Sonnet+O353*UsdM_Opus))</f>
        <v/>
      </c>
      <c r="Q353" s="19">
        <f>IF($F353&lt;&gt;"OK","",N353/1000000*((1-O353)*UsdM_Sonnet+O353*UsdM_Opus))</f>
        <v/>
      </c>
      <c r="R353" s="19">
        <f>IF($F353&lt;&gt;"OK","",G353*TarifaHora)</f>
        <v/>
      </c>
      <c r="S353" s="19">
        <f>IF($F353&lt;&gt;"OK","",H353*TarifaHora)</f>
        <v/>
      </c>
      <c r="T353" s="10">
        <f>IF($F353&lt;&gt;"OK","",IF(COUNTIFS($A$2:$A353,$A353,$F$2:$F353,"OK")=1,MAX($T$1:$T352)+1,""))</f>
        <v/>
      </c>
    </row>
    <row r="354">
      <c r="A354" s="11" t="n"/>
      <c r="B354" s="11" t="n"/>
      <c r="C354" s="11" t="n"/>
      <c r="D354" s="11" t="n"/>
      <c r="E354" s="11" t="n"/>
      <c r="F354" s="10">
        <f>IF(AND($A354="",$B354="",$C354=""),"",IF($A354="","⚠ Falta hito",IF(ISNA(MATCH($C354,Cat_Nombre,0)),"⚠ Categoría inválida","OK")))</f>
        <v/>
      </c>
      <c r="G354" s="16">
        <f>IF($F354&lt;&gt;"OK","",IF(UPPER(TRIM($D354))="NO",INDEX(Cat_HMax,MATCH($C354,Cat_Nombre,0)),INDEX(Cat_HMin,MATCH($C354,Cat_Nombre,0))))</f>
        <v/>
      </c>
      <c r="H354" s="16">
        <f>IF($F354&lt;&gt;"OK","",INDEX(Cat_HMax,MATCH($C354,Cat_Nombre,0)))</f>
        <v/>
      </c>
      <c r="I354" s="16">
        <f>IF($F354&lt;&gt;"OK","",(G354+H354)/2)</f>
        <v/>
      </c>
      <c r="J354" s="16">
        <f>IF($F354&lt;&gt;"OK","",G354/HorasDia)</f>
        <v/>
      </c>
      <c r="K354" s="16">
        <f>IF($F354&lt;&gt;"OK","",I354/HorasDia)</f>
        <v/>
      </c>
      <c r="L354" s="16">
        <f>IF($F354&lt;&gt;"OK","",H354/HorasDia)</f>
        <v/>
      </c>
      <c r="M354" s="17">
        <f>IF($F354&lt;&gt;"OK","",IF(UPPER(TRIM($D354))="NO",INDEX(Cat_TMax,MATCH($C354,Cat_Nombre,0)),INDEX(Cat_TMin,MATCH($C354,Cat_Nombre,0))))</f>
        <v/>
      </c>
      <c r="N354" s="17">
        <f>IF($F354&lt;&gt;"OK","",INDEX(Cat_TMax,MATCH($C354,Cat_Nombre,0)))</f>
        <v/>
      </c>
      <c r="O354" s="18">
        <f>IF($F354&lt;&gt;"OK","",INDEX(Cat_POpus,MATCH($C354,Cat_Nombre,0)))</f>
        <v/>
      </c>
      <c r="P354" s="19">
        <f>IF($F354&lt;&gt;"OK","",M354/1000000*((1-O354)*UsdM_Sonnet+O354*UsdM_Opus))</f>
        <v/>
      </c>
      <c r="Q354" s="19">
        <f>IF($F354&lt;&gt;"OK","",N354/1000000*((1-O354)*UsdM_Sonnet+O354*UsdM_Opus))</f>
        <v/>
      </c>
      <c r="R354" s="19">
        <f>IF($F354&lt;&gt;"OK","",G354*TarifaHora)</f>
        <v/>
      </c>
      <c r="S354" s="19">
        <f>IF($F354&lt;&gt;"OK","",H354*TarifaHora)</f>
        <v/>
      </c>
      <c r="T354" s="10">
        <f>IF($F354&lt;&gt;"OK","",IF(COUNTIFS($A$2:$A354,$A354,$F$2:$F354,"OK")=1,MAX($T$1:$T353)+1,""))</f>
        <v/>
      </c>
    </row>
    <row r="355">
      <c r="A355" s="11" t="n"/>
      <c r="B355" s="11" t="n"/>
      <c r="C355" s="11" t="n"/>
      <c r="D355" s="11" t="n"/>
      <c r="E355" s="11" t="n"/>
      <c r="F355" s="10">
        <f>IF(AND($A355="",$B355="",$C355=""),"",IF($A355="","⚠ Falta hito",IF(ISNA(MATCH($C355,Cat_Nombre,0)),"⚠ Categoría inválida","OK")))</f>
        <v/>
      </c>
      <c r="G355" s="16">
        <f>IF($F355&lt;&gt;"OK","",IF(UPPER(TRIM($D355))="NO",INDEX(Cat_HMax,MATCH($C355,Cat_Nombre,0)),INDEX(Cat_HMin,MATCH($C355,Cat_Nombre,0))))</f>
        <v/>
      </c>
      <c r="H355" s="16">
        <f>IF($F355&lt;&gt;"OK","",INDEX(Cat_HMax,MATCH($C355,Cat_Nombre,0)))</f>
        <v/>
      </c>
      <c r="I355" s="16">
        <f>IF($F355&lt;&gt;"OK","",(G355+H355)/2)</f>
        <v/>
      </c>
      <c r="J355" s="16">
        <f>IF($F355&lt;&gt;"OK","",G355/HorasDia)</f>
        <v/>
      </c>
      <c r="K355" s="16">
        <f>IF($F355&lt;&gt;"OK","",I355/HorasDia)</f>
        <v/>
      </c>
      <c r="L355" s="16">
        <f>IF($F355&lt;&gt;"OK","",H355/HorasDia)</f>
        <v/>
      </c>
      <c r="M355" s="17">
        <f>IF($F355&lt;&gt;"OK","",IF(UPPER(TRIM($D355))="NO",INDEX(Cat_TMax,MATCH($C355,Cat_Nombre,0)),INDEX(Cat_TMin,MATCH($C355,Cat_Nombre,0))))</f>
        <v/>
      </c>
      <c r="N355" s="17">
        <f>IF($F355&lt;&gt;"OK","",INDEX(Cat_TMax,MATCH($C355,Cat_Nombre,0)))</f>
        <v/>
      </c>
      <c r="O355" s="18">
        <f>IF($F355&lt;&gt;"OK","",INDEX(Cat_POpus,MATCH($C355,Cat_Nombre,0)))</f>
        <v/>
      </c>
      <c r="P355" s="19">
        <f>IF($F355&lt;&gt;"OK","",M355/1000000*((1-O355)*UsdM_Sonnet+O355*UsdM_Opus))</f>
        <v/>
      </c>
      <c r="Q355" s="19">
        <f>IF($F355&lt;&gt;"OK","",N355/1000000*((1-O355)*UsdM_Sonnet+O355*UsdM_Opus))</f>
        <v/>
      </c>
      <c r="R355" s="19">
        <f>IF($F355&lt;&gt;"OK","",G355*TarifaHora)</f>
        <v/>
      </c>
      <c r="S355" s="19">
        <f>IF($F355&lt;&gt;"OK","",H355*TarifaHora)</f>
        <v/>
      </c>
      <c r="T355" s="10">
        <f>IF($F355&lt;&gt;"OK","",IF(COUNTIFS($A$2:$A355,$A355,$F$2:$F355,"OK")=1,MAX($T$1:$T354)+1,""))</f>
        <v/>
      </c>
    </row>
    <row r="356">
      <c r="A356" s="11" t="n"/>
      <c r="B356" s="11" t="n"/>
      <c r="C356" s="11" t="n"/>
      <c r="D356" s="11" t="n"/>
      <c r="E356" s="11" t="n"/>
      <c r="F356" s="10">
        <f>IF(AND($A356="",$B356="",$C356=""),"",IF($A356="","⚠ Falta hito",IF(ISNA(MATCH($C356,Cat_Nombre,0)),"⚠ Categoría inválida","OK")))</f>
        <v/>
      </c>
      <c r="G356" s="16">
        <f>IF($F356&lt;&gt;"OK","",IF(UPPER(TRIM($D356))="NO",INDEX(Cat_HMax,MATCH($C356,Cat_Nombre,0)),INDEX(Cat_HMin,MATCH($C356,Cat_Nombre,0))))</f>
        <v/>
      </c>
      <c r="H356" s="16">
        <f>IF($F356&lt;&gt;"OK","",INDEX(Cat_HMax,MATCH($C356,Cat_Nombre,0)))</f>
        <v/>
      </c>
      <c r="I356" s="16">
        <f>IF($F356&lt;&gt;"OK","",(G356+H356)/2)</f>
        <v/>
      </c>
      <c r="J356" s="16">
        <f>IF($F356&lt;&gt;"OK","",G356/HorasDia)</f>
        <v/>
      </c>
      <c r="K356" s="16">
        <f>IF($F356&lt;&gt;"OK","",I356/HorasDia)</f>
        <v/>
      </c>
      <c r="L356" s="16">
        <f>IF($F356&lt;&gt;"OK","",H356/HorasDia)</f>
        <v/>
      </c>
      <c r="M356" s="17">
        <f>IF($F356&lt;&gt;"OK","",IF(UPPER(TRIM($D356))="NO",INDEX(Cat_TMax,MATCH($C356,Cat_Nombre,0)),INDEX(Cat_TMin,MATCH($C356,Cat_Nombre,0))))</f>
        <v/>
      </c>
      <c r="N356" s="17">
        <f>IF($F356&lt;&gt;"OK","",INDEX(Cat_TMax,MATCH($C356,Cat_Nombre,0)))</f>
        <v/>
      </c>
      <c r="O356" s="18">
        <f>IF($F356&lt;&gt;"OK","",INDEX(Cat_POpus,MATCH($C356,Cat_Nombre,0)))</f>
        <v/>
      </c>
      <c r="P356" s="19">
        <f>IF($F356&lt;&gt;"OK","",M356/1000000*((1-O356)*UsdM_Sonnet+O356*UsdM_Opus))</f>
        <v/>
      </c>
      <c r="Q356" s="19">
        <f>IF($F356&lt;&gt;"OK","",N356/1000000*((1-O356)*UsdM_Sonnet+O356*UsdM_Opus))</f>
        <v/>
      </c>
      <c r="R356" s="19">
        <f>IF($F356&lt;&gt;"OK","",G356*TarifaHora)</f>
        <v/>
      </c>
      <c r="S356" s="19">
        <f>IF($F356&lt;&gt;"OK","",H356*TarifaHora)</f>
        <v/>
      </c>
      <c r="T356" s="10">
        <f>IF($F356&lt;&gt;"OK","",IF(COUNTIFS($A$2:$A356,$A356,$F$2:$F356,"OK")=1,MAX($T$1:$T355)+1,""))</f>
        <v/>
      </c>
    </row>
    <row r="357">
      <c r="A357" s="11" t="n"/>
      <c r="B357" s="11" t="n"/>
      <c r="C357" s="11" t="n"/>
      <c r="D357" s="11" t="n"/>
      <c r="E357" s="11" t="n"/>
      <c r="F357" s="10">
        <f>IF(AND($A357="",$B357="",$C357=""),"",IF($A357="","⚠ Falta hito",IF(ISNA(MATCH($C357,Cat_Nombre,0)),"⚠ Categoría inválida","OK")))</f>
        <v/>
      </c>
      <c r="G357" s="16">
        <f>IF($F357&lt;&gt;"OK","",IF(UPPER(TRIM($D357))="NO",INDEX(Cat_HMax,MATCH($C357,Cat_Nombre,0)),INDEX(Cat_HMin,MATCH($C357,Cat_Nombre,0))))</f>
        <v/>
      </c>
      <c r="H357" s="16">
        <f>IF($F357&lt;&gt;"OK","",INDEX(Cat_HMax,MATCH($C357,Cat_Nombre,0)))</f>
        <v/>
      </c>
      <c r="I357" s="16">
        <f>IF($F357&lt;&gt;"OK","",(G357+H357)/2)</f>
        <v/>
      </c>
      <c r="J357" s="16">
        <f>IF($F357&lt;&gt;"OK","",G357/HorasDia)</f>
        <v/>
      </c>
      <c r="K357" s="16">
        <f>IF($F357&lt;&gt;"OK","",I357/HorasDia)</f>
        <v/>
      </c>
      <c r="L357" s="16">
        <f>IF($F357&lt;&gt;"OK","",H357/HorasDia)</f>
        <v/>
      </c>
      <c r="M357" s="17">
        <f>IF($F357&lt;&gt;"OK","",IF(UPPER(TRIM($D357))="NO",INDEX(Cat_TMax,MATCH($C357,Cat_Nombre,0)),INDEX(Cat_TMin,MATCH($C357,Cat_Nombre,0))))</f>
        <v/>
      </c>
      <c r="N357" s="17">
        <f>IF($F357&lt;&gt;"OK","",INDEX(Cat_TMax,MATCH($C357,Cat_Nombre,0)))</f>
        <v/>
      </c>
      <c r="O357" s="18">
        <f>IF($F357&lt;&gt;"OK","",INDEX(Cat_POpus,MATCH($C357,Cat_Nombre,0)))</f>
        <v/>
      </c>
      <c r="P357" s="19">
        <f>IF($F357&lt;&gt;"OK","",M357/1000000*((1-O357)*UsdM_Sonnet+O357*UsdM_Opus))</f>
        <v/>
      </c>
      <c r="Q357" s="19">
        <f>IF($F357&lt;&gt;"OK","",N357/1000000*((1-O357)*UsdM_Sonnet+O357*UsdM_Opus))</f>
        <v/>
      </c>
      <c r="R357" s="19">
        <f>IF($F357&lt;&gt;"OK","",G357*TarifaHora)</f>
        <v/>
      </c>
      <c r="S357" s="19">
        <f>IF($F357&lt;&gt;"OK","",H357*TarifaHora)</f>
        <v/>
      </c>
      <c r="T357" s="10">
        <f>IF($F357&lt;&gt;"OK","",IF(COUNTIFS($A$2:$A357,$A357,$F$2:$F357,"OK")=1,MAX($T$1:$T356)+1,""))</f>
        <v/>
      </c>
    </row>
    <row r="358">
      <c r="A358" s="11" t="n"/>
      <c r="B358" s="11" t="n"/>
      <c r="C358" s="11" t="n"/>
      <c r="D358" s="11" t="n"/>
      <c r="E358" s="11" t="n"/>
      <c r="F358" s="10">
        <f>IF(AND($A358="",$B358="",$C358=""),"",IF($A358="","⚠ Falta hito",IF(ISNA(MATCH($C358,Cat_Nombre,0)),"⚠ Categoría inválida","OK")))</f>
        <v/>
      </c>
      <c r="G358" s="16">
        <f>IF($F358&lt;&gt;"OK","",IF(UPPER(TRIM($D358))="NO",INDEX(Cat_HMax,MATCH($C358,Cat_Nombre,0)),INDEX(Cat_HMin,MATCH($C358,Cat_Nombre,0))))</f>
        <v/>
      </c>
      <c r="H358" s="16">
        <f>IF($F358&lt;&gt;"OK","",INDEX(Cat_HMax,MATCH($C358,Cat_Nombre,0)))</f>
        <v/>
      </c>
      <c r="I358" s="16">
        <f>IF($F358&lt;&gt;"OK","",(G358+H358)/2)</f>
        <v/>
      </c>
      <c r="J358" s="16">
        <f>IF($F358&lt;&gt;"OK","",G358/HorasDia)</f>
        <v/>
      </c>
      <c r="K358" s="16">
        <f>IF($F358&lt;&gt;"OK","",I358/HorasDia)</f>
        <v/>
      </c>
      <c r="L358" s="16">
        <f>IF($F358&lt;&gt;"OK","",H358/HorasDia)</f>
        <v/>
      </c>
      <c r="M358" s="17">
        <f>IF($F358&lt;&gt;"OK","",IF(UPPER(TRIM($D358))="NO",INDEX(Cat_TMax,MATCH($C358,Cat_Nombre,0)),INDEX(Cat_TMin,MATCH($C358,Cat_Nombre,0))))</f>
        <v/>
      </c>
      <c r="N358" s="17">
        <f>IF($F358&lt;&gt;"OK","",INDEX(Cat_TMax,MATCH($C358,Cat_Nombre,0)))</f>
        <v/>
      </c>
      <c r="O358" s="18">
        <f>IF($F358&lt;&gt;"OK","",INDEX(Cat_POpus,MATCH($C358,Cat_Nombre,0)))</f>
        <v/>
      </c>
      <c r="P358" s="19">
        <f>IF($F358&lt;&gt;"OK","",M358/1000000*((1-O358)*UsdM_Sonnet+O358*UsdM_Opus))</f>
        <v/>
      </c>
      <c r="Q358" s="19">
        <f>IF($F358&lt;&gt;"OK","",N358/1000000*((1-O358)*UsdM_Sonnet+O358*UsdM_Opus))</f>
        <v/>
      </c>
      <c r="R358" s="19">
        <f>IF($F358&lt;&gt;"OK","",G358*TarifaHora)</f>
        <v/>
      </c>
      <c r="S358" s="19">
        <f>IF($F358&lt;&gt;"OK","",H358*TarifaHora)</f>
        <v/>
      </c>
      <c r="T358" s="10">
        <f>IF($F358&lt;&gt;"OK","",IF(COUNTIFS($A$2:$A358,$A358,$F$2:$F358,"OK")=1,MAX($T$1:$T357)+1,""))</f>
        <v/>
      </c>
    </row>
    <row r="359">
      <c r="A359" s="11" t="n"/>
      <c r="B359" s="11" t="n"/>
      <c r="C359" s="11" t="n"/>
      <c r="D359" s="11" t="n"/>
      <c r="E359" s="11" t="n"/>
      <c r="F359" s="10">
        <f>IF(AND($A359="",$B359="",$C359=""),"",IF($A359="","⚠ Falta hito",IF(ISNA(MATCH($C359,Cat_Nombre,0)),"⚠ Categoría inválida","OK")))</f>
        <v/>
      </c>
      <c r="G359" s="16">
        <f>IF($F359&lt;&gt;"OK","",IF(UPPER(TRIM($D359))="NO",INDEX(Cat_HMax,MATCH($C359,Cat_Nombre,0)),INDEX(Cat_HMin,MATCH($C359,Cat_Nombre,0))))</f>
        <v/>
      </c>
      <c r="H359" s="16">
        <f>IF($F359&lt;&gt;"OK","",INDEX(Cat_HMax,MATCH($C359,Cat_Nombre,0)))</f>
        <v/>
      </c>
      <c r="I359" s="16">
        <f>IF($F359&lt;&gt;"OK","",(G359+H359)/2)</f>
        <v/>
      </c>
      <c r="J359" s="16">
        <f>IF($F359&lt;&gt;"OK","",G359/HorasDia)</f>
        <v/>
      </c>
      <c r="K359" s="16">
        <f>IF($F359&lt;&gt;"OK","",I359/HorasDia)</f>
        <v/>
      </c>
      <c r="L359" s="16">
        <f>IF($F359&lt;&gt;"OK","",H359/HorasDia)</f>
        <v/>
      </c>
      <c r="M359" s="17">
        <f>IF($F359&lt;&gt;"OK","",IF(UPPER(TRIM($D359))="NO",INDEX(Cat_TMax,MATCH($C359,Cat_Nombre,0)),INDEX(Cat_TMin,MATCH($C359,Cat_Nombre,0))))</f>
        <v/>
      </c>
      <c r="N359" s="17">
        <f>IF($F359&lt;&gt;"OK","",INDEX(Cat_TMax,MATCH($C359,Cat_Nombre,0)))</f>
        <v/>
      </c>
      <c r="O359" s="18">
        <f>IF($F359&lt;&gt;"OK","",INDEX(Cat_POpus,MATCH($C359,Cat_Nombre,0)))</f>
        <v/>
      </c>
      <c r="P359" s="19">
        <f>IF($F359&lt;&gt;"OK","",M359/1000000*((1-O359)*UsdM_Sonnet+O359*UsdM_Opus))</f>
        <v/>
      </c>
      <c r="Q359" s="19">
        <f>IF($F359&lt;&gt;"OK","",N359/1000000*((1-O359)*UsdM_Sonnet+O359*UsdM_Opus))</f>
        <v/>
      </c>
      <c r="R359" s="19">
        <f>IF($F359&lt;&gt;"OK","",G359*TarifaHora)</f>
        <v/>
      </c>
      <c r="S359" s="19">
        <f>IF($F359&lt;&gt;"OK","",H359*TarifaHora)</f>
        <v/>
      </c>
      <c r="T359" s="10">
        <f>IF($F359&lt;&gt;"OK","",IF(COUNTIFS($A$2:$A359,$A359,$F$2:$F359,"OK")=1,MAX($T$1:$T358)+1,""))</f>
        <v/>
      </c>
    </row>
    <row r="360">
      <c r="A360" s="11" t="n"/>
      <c r="B360" s="11" t="n"/>
      <c r="C360" s="11" t="n"/>
      <c r="D360" s="11" t="n"/>
      <c r="E360" s="11" t="n"/>
      <c r="F360" s="10">
        <f>IF(AND($A360="",$B360="",$C360=""),"",IF($A360="","⚠ Falta hito",IF(ISNA(MATCH($C360,Cat_Nombre,0)),"⚠ Categoría inválida","OK")))</f>
        <v/>
      </c>
      <c r="G360" s="16">
        <f>IF($F360&lt;&gt;"OK","",IF(UPPER(TRIM($D360))="NO",INDEX(Cat_HMax,MATCH($C360,Cat_Nombre,0)),INDEX(Cat_HMin,MATCH($C360,Cat_Nombre,0))))</f>
        <v/>
      </c>
      <c r="H360" s="16">
        <f>IF($F360&lt;&gt;"OK","",INDEX(Cat_HMax,MATCH($C360,Cat_Nombre,0)))</f>
        <v/>
      </c>
      <c r="I360" s="16">
        <f>IF($F360&lt;&gt;"OK","",(G360+H360)/2)</f>
        <v/>
      </c>
      <c r="J360" s="16">
        <f>IF($F360&lt;&gt;"OK","",G360/HorasDia)</f>
        <v/>
      </c>
      <c r="K360" s="16">
        <f>IF($F360&lt;&gt;"OK","",I360/HorasDia)</f>
        <v/>
      </c>
      <c r="L360" s="16">
        <f>IF($F360&lt;&gt;"OK","",H360/HorasDia)</f>
        <v/>
      </c>
      <c r="M360" s="17">
        <f>IF($F360&lt;&gt;"OK","",IF(UPPER(TRIM($D360))="NO",INDEX(Cat_TMax,MATCH($C360,Cat_Nombre,0)),INDEX(Cat_TMin,MATCH($C360,Cat_Nombre,0))))</f>
        <v/>
      </c>
      <c r="N360" s="17">
        <f>IF($F360&lt;&gt;"OK","",INDEX(Cat_TMax,MATCH($C360,Cat_Nombre,0)))</f>
        <v/>
      </c>
      <c r="O360" s="18">
        <f>IF($F360&lt;&gt;"OK","",INDEX(Cat_POpus,MATCH($C360,Cat_Nombre,0)))</f>
        <v/>
      </c>
      <c r="P360" s="19">
        <f>IF($F360&lt;&gt;"OK","",M360/1000000*((1-O360)*UsdM_Sonnet+O360*UsdM_Opus))</f>
        <v/>
      </c>
      <c r="Q360" s="19">
        <f>IF($F360&lt;&gt;"OK","",N360/1000000*((1-O360)*UsdM_Sonnet+O360*UsdM_Opus))</f>
        <v/>
      </c>
      <c r="R360" s="19">
        <f>IF($F360&lt;&gt;"OK","",G360*TarifaHora)</f>
        <v/>
      </c>
      <c r="S360" s="19">
        <f>IF($F360&lt;&gt;"OK","",H360*TarifaHora)</f>
        <v/>
      </c>
      <c r="T360" s="10">
        <f>IF($F360&lt;&gt;"OK","",IF(COUNTIFS($A$2:$A360,$A360,$F$2:$F360,"OK")=1,MAX($T$1:$T359)+1,""))</f>
        <v/>
      </c>
    </row>
    <row r="361">
      <c r="A361" s="11" t="n"/>
      <c r="B361" s="11" t="n"/>
      <c r="C361" s="11" t="n"/>
      <c r="D361" s="11" t="n"/>
      <c r="E361" s="11" t="n"/>
      <c r="F361" s="10">
        <f>IF(AND($A361="",$B361="",$C361=""),"",IF($A361="","⚠ Falta hito",IF(ISNA(MATCH($C361,Cat_Nombre,0)),"⚠ Categoría inválida","OK")))</f>
        <v/>
      </c>
      <c r="G361" s="16">
        <f>IF($F361&lt;&gt;"OK","",IF(UPPER(TRIM($D361))="NO",INDEX(Cat_HMax,MATCH($C361,Cat_Nombre,0)),INDEX(Cat_HMin,MATCH($C361,Cat_Nombre,0))))</f>
        <v/>
      </c>
      <c r="H361" s="16">
        <f>IF($F361&lt;&gt;"OK","",INDEX(Cat_HMax,MATCH($C361,Cat_Nombre,0)))</f>
        <v/>
      </c>
      <c r="I361" s="16">
        <f>IF($F361&lt;&gt;"OK","",(G361+H361)/2)</f>
        <v/>
      </c>
      <c r="J361" s="16">
        <f>IF($F361&lt;&gt;"OK","",G361/HorasDia)</f>
        <v/>
      </c>
      <c r="K361" s="16">
        <f>IF($F361&lt;&gt;"OK","",I361/HorasDia)</f>
        <v/>
      </c>
      <c r="L361" s="16">
        <f>IF($F361&lt;&gt;"OK","",H361/HorasDia)</f>
        <v/>
      </c>
      <c r="M361" s="17">
        <f>IF($F361&lt;&gt;"OK","",IF(UPPER(TRIM($D361))="NO",INDEX(Cat_TMax,MATCH($C361,Cat_Nombre,0)),INDEX(Cat_TMin,MATCH($C361,Cat_Nombre,0))))</f>
        <v/>
      </c>
      <c r="N361" s="17">
        <f>IF($F361&lt;&gt;"OK","",INDEX(Cat_TMax,MATCH($C361,Cat_Nombre,0)))</f>
        <v/>
      </c>
      <c r="O361" s="18">
        <f>IF($F361&lt;&gt;"OK","",INDEX(Cat_POpus,MATCH($C361,Cat_Nombre,0)))</f>
        <v/>
      </c>
      <c r="P361" s="19">
        <f>IF($F361&lt;&gt;"OK","",M361/1000000*((1-O361)*UsdM_Sonnet+O361*UsdM_Opus))</f>
        <v/>
      </c>
      <c r="Q361" s="19">
        <f>IF($F361&lt;&gt;"OK","",N361/1000000*((1-O361)*UsdM_Sonnet+O361*UsdM_Opus))</f>
        <v/>
      </c>
      <c r="R361" s="19">
        <f>IF($F361&lt;&gt;"OK","",G361*TarifaHora)</f>
        <v/>
      </c>
      <c r="S361" s="19">
        <f>IF($F361&lt;&gt;"OK","",H361*TarifaHora)</f>
        <v/>
      </c>
      <c r="T361" s="10">
        <f>IF($F361&lt;&gt;"OK","",IF(COUNTIFS($A$2:$A361,$A361,$F$2:$F361,"OK")=1,MAX($T$1:$T360)+1,""))</f>
        <v/>
      </c>
    </row>
    <row r="362">
      <c r="A362" s="11" t="n"/>
      <c r="B362" s="11" t="n"/>
      <c r="C362" s="11" t="n"/>
      <c r="D362" s="11" t="n"/>
      <c r="E362" s="11" t="n"/>
      <c r="F362" s="10">
        <f>IF(AND($A362="",$B362="",$C362=""),"",IF($A362="","⚠ Falta hito",IF(ISNA(MATCH($C362,Cat_Nombre,0)),"⚠ Categoría inválida","OK")))</f>
        <v/>
      </c>
      <c r="G362" s="16">
        <f>IF($F362&lt;&gt;"OK","",IF(UPPER(TRIM($D362))="NO",INDEX(Cat_HMax,MATCH($C362,Cat_Nombre,0)),INDEX(Cat_HMin,MATCH($C362,Cat_Nombre,0))))</f>
        <v/>
      </c>
      <c r="H362" s="16">
        <f>IF($F362&lt;&gt;"OK","",INDEX(Cat_HMax,MATCH($C362,Cat_Nombre,0)))</f>
        <v/>
      </c>
      <c r="I362" s="16">
        <f>IF($F362&lt;&gt;"OK","",(G362+H362)/2)</f>
        <v/>
      </c>
      <c r="J362" s="16">
        <f>IF($F362&lt;&gt;"OK","",G362/HorasDia)</f>
        <v/>
      </c>
      <c r="K362" s="16">
        <f>IF($F362&lt;&gt;"OK","",I362/HorasDia)</f>
        <v/>
      </c>
      <c r="L362" s="16">
        <f>IF($F362&lt;&gt;"OK","",H362/HorasDia)</f>
        <v/>
      </c>
      <c r="M362" s="17">
        <f>IF($F362&lt;&gt;"OK","",IF(UPPER(TRIM($D362))="NO",INDEX(Cat_TMax,MATCH($C362,Cat_Nombre,0)),INDEX(Cat_TMin,MATCH($C362,Cat_Nombre,0))))</f>
        <v/>
      </c>
      <c r="N362" s="17">
        <f>IF($F362&lt;&gt;"OK","",INDEX(Cat_TMax,MATCH($C362,Cat_Nombre,0)))</f>
        <v/>
      </c>
      <c r="O362" s="18">
        <f>IF($F362&lt;&gt;"OK","",INDEX(Cat_POpus,MATCH($C362,Cat_Nombre,0)))</f>
        <v/>
      </c>
      <c r="P362" s="19">
        <f>IF($F362&lt;&gt;"OK","",M362/1000000*((1-O362)*UsdM_Sonnet+O362*UsdM_Opus))</f>
        <v/>
      </c>
      <c r="Q362" s="19">
        <f>IF($F362&lt;&gt;"OK","",N362/1000000*((1-O362)*UsdM_Sonnet+O362*UsdM_Opus))</f>
        <v/>
      </c>
      <c r="R362" s="19">
        <f>IF($F362&lt;&gt;"OK","",G362*TarifaHora)</f>
        <v/>
      </c>
      <c r="S362" s="19">
        <f>IF($F362&lt;&gt;"OK","",H362*TarifaHora)</f>
        <v/>
      </c>
      <c r="T362" s="10">
        <f>IF($F362&lt;&gt;"OK","",IF(COUNTIFS($A$2:$A362,$A362,$F$2:$F362,"OK")=1,MAX($T$1:$T361)+1,""))</f>
        <v/>
      </c>
    </row>
    <row r="363">
      <c r="A363" s="11" t="n"/>
      <c r="B363" s="11" t="n"/>
      <c r="C363" s="11" t="n"/>
      <c r="D363" s="11" t="n"/>
      <c r="E363" s="11" t="n"/>
      <c r="F363" s="10">
        <f>IF(AND($A363="",$B363="",$C363=""),"",IF($A363="","⚠ Falta hito",IF(ISNA(MATCH($C363,Cat_Nombre,0)),"⚠ Categoría inválida","OK")))</f>
        <v/>
      </c>
      <c r="G363" s="16">
        <f>IF($F363&lt;&gt;"OK","",IF(UPPER(TRIM($D363))="NO",INDEX(Cat_HMax,MATCH($C363,Cat_Nombre,0)),INDEX(Cat_HMin,MATCH($C363,Cat_Nombre,0))))</f>
        <v/>
      </c>
      <c r="H363" s="16">
        <f>IF($F363&lt;&gt;"OK","",INDEX(Cat_HMax,MATCH($C363,Cat_Nombre,0)))</f>
        <v/>
      </c>
      <c r="I363" s="16">
        <f>IF($F363&lt;&gt;"OK","",(G363+H363)/2)</f>
        <v/>
      </c>
      <c r="J363" s="16">
        <f>IF($F363&lt;&gt;"OK","",G363/HorasDia)</f>
        <v/>
      </c>
      <c r="K363" s="16">
        <f>IF($F363&lt;&gt;"OK","",I363/HorasDia)</f>
        <v/>
      </c>
      <c r="L363" s="16">
        <f>IF($F363&lt;&gt;"OK","",H363/HorasDia)</f>
        <v/>
      </c>
      <c r="M363" s="17">
        <f>IF($F363&lt;&gt;"OK","",IF(UPPER(TRIM($D363))="NO",INDEX(Cat_TMax,MATCH($C363,Cat_Nombre,0)),INDEX(Cat_TMin,MATCH($C363,Cat_Nombre,0))))</f>
        <v/>
      </c>
      <c r="N363" s="17">
        <f>IF($F363&lt;&gt;"OK","",INDEX(Cat_TMax,MATCH($C363,Cat_Nombre,0)))</f>
        <v/>
      </c>
      <c r="O363" s="18">
        <f>IF($F363&lt;&gt;"OK","",INDEX(Cat_POpus,MATCH($C363,Cat_Nombre,0)))</f>
        <v/>
      </c>
      <c r="P363" s="19">
        <f>IF($F363&lt;&gt;"OK","",M363/1000000*((1-O363)*UsdM_Sonnet+O363*UsdM_Opus))</f>
        <v/>
      </c>
      <c r="Q363" s="19">
        <f>IF($F363&lt;&gt;"OK","",N363/1000000*((1-O363)*UsdM_Sonnet+O363*UsdM_Opus))</f>
        <v/>
      </c>
      <c r="R363" s="19">
        <f>IF($F363&lt;&gt;"OK","",G363*TarifaHora)</f>
        <v/>
      </c>
      <c r="S363" s="19">
        <f>IF($F363&lt;&gt;"OK","",H363*TarifaHora)</f>
        <v/>
      </c>
      <c r="T363" s="10">
        <f>IF($F363&lt;&gt;"OK","",IF(COUNTIFS($A$2:$A363,$A363,$F$2:$F363,"OK")=1,MAX($T$1:$T362)+1,""))</f>
        <v/>
      </c>
    </row>
    <row r="364">
      <c r="A364" s="11" t="n"/>
      <c r="B364" s="11" t="n"/>
      <c r="C364" s="11" t="n"/>
      <c r="D364" s="11" t="n"/>
      <c r="E364" s="11" t="n"/>
      <c r="F364" s="10">
        <f>IF(AND($A364="",$B364="",$C364=""),"",IF($A364="","⚠ Falta hito",IF(ISNA(MATCH($C364,Cat_Nombre,0)),"⚠ Categoría inválida","OK")))</f>
        <v/>
      </c>
      <c r="G364" s="16">
        <f>IF($F364&lt;&gt;"OK","",IF(UPPER(TRIM($D364))="NO",INDEX(Cat_HMax,MATCH($C364,Cat_Nombre,0)),INDEX(Cat_HMin,MATCH($C364,Cat_Nombre,0))))</f>
        <v/>
      </c>
      <c r="H364" s="16">
        <f>IF($F364&lt;&gt;"OK","",INDEX(Cat_HMax,MATCH($C364,Cat_Nombre,0)))</f>
        <v/>
      </c>
      <c r="I364" s="16">
        <f>IF($F364&lt;&gt;"OK","",(G364+H364)/2)</f>
        <v/>
      </c>
      <c r="J364" s="16">
        <f>IF($F364&lt;&gt;"OK","",G364/HorasDia)</f>
        <v/>
      </c>
      <c r="K364" s="16">
        <f>IF($F364&lt;&gt;"OK","",I364/HorasDia)</f>
        <v/>
      </c>
      <c r="L364" s="16">
        <f>IF($F364&lt;&gt;"OK","",H364/HorasDia)</f>
        <v/>
      </c>
      <c r="M364" s="17">
        <f>IF($F364&lt;&gt;"OK","",IF(UPPER(TRIM($D364))="NO",INDEX(Cat_TMax,MATCH($C364,Cat_Nombre,0)),INDEX(Cat_TMin,MATCH($C364,Cat_Nombre,0))))</f>
        <v/>
      </c>
      <c r="N364" s="17">
        <f>IF($F364&lt;&gt;"OK","",INDEX(Cat_TMax,MATCH($C364,Cat_Nombre,0)))</f>
        <v/>
      </c>
      <c r="O364" s="18">
        <f>IF($F364&lt;&gt;"OK","",INDEX(Cat_POpus,MATCH($C364,Cat_Nombre,0)))</f>
        <v/>
      </c>
      <c r="P364" s="19">
        <f>IF($F364&lt;&gt;"OK","",M364/1000000*((1-O364)*UsdM_Sonnet+O364*UsdM_Opus))</f>
        <v/>
      </c>
      <c r="Q364" s="19">
        <f>IF($F364&lt;&gt;"OK","",N364/1000000*((1-O364)*UsdM_Sonnet+O364*UsdM_Opus))</f>
        <v/>
      </c>
      <c r="R364" s="19">
        <f>IF($F364&lt;&gt;"OK","",G364*TarifaHora)</f>
        <v/>
      </c>
      <c r="S364" s="19">
        <f>IF($F364&lt;&gt;"OK","",H364*TarifaHora)</f>
        <v/>
      </c>
      <c r="T364" s="10">
        <f>IF($F364&lt;&gt;"OK","",IF(COUNTIFS($A$2:$A364,$A364,$F$2:$F364,"OK")=1,MAX($T$1:$T363)+1,""))</f>
        <v/>
      </c>
    </row>
    <row r="365">
      <c r="A365" s="11" t="n"/>
      <c r="B365" s="11" t="n"/>
      <c r="C365" s="11" t="n"/>
      <c r="D365" s="11" t="n"/>
      <c r="E365" s="11" t="n"/>
      <c r="F365" s="10">
        <f>IF(AND($A365="",$B365="",$C365=""),"",IF($A365="","⚠ Falta hito",IF(ISNA(MATCH($C365,Cat_Nombre,0)),"⚠ Categoría inválida","OK")))</f>
        <v/>
      </c>
      <c r="G365" s="16">
        <f>IF($F365&lt;&gt;"OK","",IF(UPPER(TRIM($D365))="NO",INDEX(Cat_HMax,MATCH($C365,Cat_Nombre,0)),INDEX(Cat_HMin,MATCH($C365,Cat_Nombre,0))))</f>
        <v/>
      </c>
      <c r="H365" s="16">
        <f>IF($F365&lt;&gt;"OK","",INDEX(Cat_HMax,MATCH($C365,Cat_Nombre,0)))</f>
        <v/>
      </c>
      <c r="I365" s="16">
        <f>IF($F365&lt;&gt;"OK","",(G365+H365)/2)</f>
        <v/>
      </c>
      <c r="J365" s="16">
        <f>IF($F365&lt;&gt;"OK","",G365/HorasDia)</f>
        <v/>
      </c>
      <c r="K365" s="16">
        <f>IF($F365&lt;&gt;"OK","",I365/HorasDia)</f>
        <v/>
      </c>
      <c r="L365" s="16">
        <f>IF($F365&lt;&gt;"OK","",H365/HorasDia)</f>
        <v/>
      </c>
      <c r="M365" s="17">
        <f>IF($F365&lt;&gt;"OK","",IF(UPPER(TRIM($D365))="NO",INDEX(Cat_TMax,MATCH($C365,Cat_Nombre,0)),INDEX(Cat_TMin,MATCH($C365,Cat_Nombre,0))))</f>
        <v/>
      </c>
      <c r="N365" s="17">
        <f>IF($F365&lt;&gt;"OK","",INDEX(Cat_TMax,MATCH($C365,Cat_Nombre,0)))</f>
        <v/>
      </c>
      <c r="O365" s="18">
        <f>IF($F365&lt;&gt;"OK","",INDEX(Cat_POpus,MATCH($C365,Cat_Nombre,0)))</f>
        <v/>
      </c>
      <c r="P365" s="19">
        <f>IF($F365&lt;&gt;"OK","",M365/1000000*((1-O365)*UsdM_Sonnet+O365*UsdM_Opus))</f>
        <v/>
      </c>
      <c r="Q365" s="19">
        <f>IF($F365&lt;&gt;"OK","",N365/1000000*((1-O365)*UsdM_Sonnet+O365*UsdM_Opus))</f>
        <v/>
      </c>
      <c r="R365" s="19">
        <f>IF($F365&lt;&gt;"OK","",G365*TarifaHora)</f>
        <v/>
      </c>
      <c r="S365" s="19">
        <f>IF($F365&lt;&gt;"OK","",H365*TarifaHora)</f>
        <v/>
      </c>
      <c r="T365" s="10">
        <f>IF($F365&lt;&gt;"OK","",IF(COUNTIFS($A$2:$A365,$A365,$F$2:$F365,"OK")=1,MAX($T$1:$T364)+1,""))</f>
        <v/>
      </c>
    </row>
    <row r="366">
      <c r="A366" s="11" t="n"/>
      <c r="B366" s="11" t="n"/>
      <c r="C366" s="11" t="n"/>
      <c r="D366" s="11" t="n"/>
      <c r="E366" s="11" t="n"/>
      <c r="F366" s="10">
        <f>IF(AND($A366="",$B366="",$C366=""),"",IF($A366="","⚠ Falta hito",IF(ISNA(MATCH($C366,Cat_Nombre,0)),"⚠ Categoría inválida","OK")))</f>
        <v/>
      </c>
      <c r="G366" s="16">
        <f>IF($F366&lt;&gt;"OK","",IF(UPPER(TRIM($D366))="NO",INDEX(Cat_HMax,MATCH($C366,Cat_Nombre,0)),INDEX(Cat_HMin,MATCH($C366,Cat_Nombre,0))))</f>
        <v/>
      </c>
      <c r="H366" s="16">
        <f>IF($F366&lt;&gt;"OK","",INDEX(Cat_HMax,MATCH($C366,Cat_Nombre,0)))</f>
        <v/>
      </c>
      <c r="I366" s="16">
        <f>IF($F366&lt;&gt;"OK","",(G366+H366)/2)</f>
        <v/>
      </c>
      <c r="J366" s="16">
        <f>IF($F366&lt;&gt;"OK","",G366/HorasDia)</f>
        <v/>
      </c>
      <c r="K366" s="16">
        <f>IF($F366&lt;&gt;"OK","",I366/HorasDia)</f>
        <v/>
      </c>
      <c r="L366" s="16">
        <f>IF($F366&lt;&gt;"OK","",H366/HorasDia)</f>
        <v/>
      </c>
      <c r="M366" s="17">
        <f>IF($F366&lt;&gt;"OK","",IF(UPPER(TRIM($D366))="NO",INDEX(Cat_TMax,MATCH($C366,Cat_Nombre,0)),INDEX(Cat_TMin,MATCH($C366,Cat_Nombre,0))))</f>
        <v/>
      </c>
      <c r="N366" s="17">
        <f>IF($F366&lt;&gt;"OK","",INDEX(Cat_TMax,MATCH($C366,Cat_Nombre,0)))</f>
        <v/>
      </c>
      <c r="O366" s="18">
        <f>IF($F366&lt;&gt;"OK","",INDEX(Cat_POpus,MATCH($C366,Cat_Nombre,0)))</f>
        <v/>
      </c>
      <c r="P366" s="19">
        <f>IF($F366&lt;&gt;"OK","",M366/1000000*((1-O366)*UsdM_Sonnet+O366*UsdM_Opus))</f>
        <v/>
      </c>
      <c r="Q366" s="19">
        <f>IF($F366&lt;&gt;"OK","",N366/1000000*((1-O366)*UsdM_Sonnet+O366*UsdM_Opus))</f>
        <v/>
      </c>
      <c r="R366" s="19">
        <f>IF($F366&lt;&gt;"OK","",G366*TarifaHora)</f>
        <v/>
      </c>
      <c r="S366" s="19">
        <f>IF($F366&lt;&gt;"OK","",H366*TarifaHora)</f>
        <v/>
      </c>
      <c r="T366" s="10">
        <f>IF($F366&lt;&gt;"OK","",IF(COUNTIFS($A$2:$A366,$A366,$F$2:$F366,"OK")=1,MAX($T$1:$T365)+1,""))</f>
        <v/>
      </c>
    </row>
    <row r="367">
      <c r="A367" s="11" t="n"/>
      <c r="B367" s="11" t="n"/>
      <c r="C367" s="11" t="n"/>
      <c r="D367" s="11" t="n"/>
      <c r="E367" s="11" t="n"/>
      <c r="F367" s="10">
        <f>IF(AND($A367="",$B367="",$C367=""),"",IF($A367="","⚠ Falta hito",IF(ISNA(MATCH($C367,Cat_Nombre,0)),"⚠ Categoría inválida","OK")))</f>
        <v/>
      </c>
      <c r="G367" s="16">
        <f>IF($F367&lt;&gt;"OK","",IF(UPPER(TRIM($D367))="NO",INDEX(Cat_HMax,MATCH($C367,Cat_Nombre,0)),INDEX(Cat_HMin,MATCH($C367,Cat_Nombre,0))))</f>
        <v/>
      </c>
      <c r="H367" s="16">
        <f>IF($F367&lt;&gt;"OK","",INDEX(Cat_HMax,MATCH($C367,Cat_Nombre,0)))</f>
        <v/>
      </c>
      <c r="I367" s="16">
        <f>IF($F367&lt;&gt;"OK","",(G367+H367)/2)</f>
        <v/>
      </c>
      <c r="J367" s="16">
        <f>IF($F367&lt;&gt;"OK","",G367/HorasDia)</f>
        <v/>
      </c>
      <c r="K367" s="16">
        <f>IF($F367&lt;&gt;"OK","",I367/HorasDia)</f>
        <v/>
      </c>
      <c r="L367" s="16">
        <f>IF($F367&lt;&gt;"OK","",H367/HorasDia)</f>
        <v/>
      </c>
      <c r="M367" s="17">
        <f>IF($F367&lt;&gt;"OK","",IF(UPPER(TRIM($D367))="NO",INDEX(Cat_TMax,MATCH($C367,Cat_Nombre,0)),INDEX(Cat_TMin,MATCH($C367,Cat_Nombre,0))))</f>
        <v/>
      </c>
      <c r="N367" s="17">
        <f>IF($F367&lt;&gt;"OK","",INDEX(Cat_TMax,MATCH($C367,Cat_Nombre,0)))</f>
        <v/>
      </c>
      <c r="O367" s="18">
        <f>IF($F367&lt;&gt;"OK","",INDEX(Cat_POpus,MATCH($C367,Cat_Nombre,0)))</f>
        <v/>
      </c>
      <c r="P367" s="19">
        <f>IF($F367&lt;&gt;"OK","",M367/1000000*((1-O367)*UsdM_Sonnet+O367*UsdM_Opus))</f>
        <v/>
      </c>
      <c r="Q367" s="19">
        <f>IF($F367&lt;&gt;"OK","",N367/1000000*((1-O367)*UsdM_Sonnet+O367*UsdM_Opus))</f>
        <v/>
      </c>
      <c r="R367" s="19">
        <f>IF($F367&lt;&gt;"OK","",G367*TarifaHora)</f>
        <v/>
      </c>
      <c r="S367" s="19">
        <f>IF($F367&lt;&gt;"OK","",H367*TarifaHora)</f>
        <v/>
      </c>
      <c r="T367" s="10">
        <f>IF($F367&lt;&gt;"OK","",IF(COUNTIFS($A$2:$A367,$A367,$F$2:$F367,"OK")=1,MAX($T$1:$T366)+1,""))</f>
        <v/>
      </c>
    </row>
    <row r="368">
      <c r="A368" s="11" t="n"/>
      <c r="B368" s="11" t="n"/>
      <c r="C368" s="11" t="n"/>
      <c r="D368" s="11" t="n"/>
      <c r="E368" s="11" t="n"/>
      <c r="F368" s="10">
        <f>IF(AND($A368="",$B368="",$C368=""),"",IF($A368="","⚠ Falta hito",IF(ISNA(MATCH($C368,Cat_Nombre,0)),"⚠ Categoría inválida","OK")))</f>
        <v/>
      </c>
      <c r="G368" s="16">
        <f>IF($F368&lt;&gt;"OK","",IF(UPPER(TRIM($D368))="NO",INDEX(Cat_HMax,MATCH($C368,Cat_Nombre,0)),INDEX(Cat_HMin,MATCH($C368,Cat_Nombre,0))))</f>
        <v/>
      </c>
      <c r="H368" s="16">
        <f>IF($F368&lt;&gt;"OK","",INDEX(Cat_HMax,MATCH($C368,Cat_Nombre,0)))</f>
        <v/>
      </c>
      <c r="I368" s="16">
        <f>IF($F368&lt;&gt;"OK","",(G368+H368)/2)</f>
        <v/>
      </c>
      <c r="J368" s="16">
        <f>IF($F368&lt;&gt;"OK","",G368/HorasDia)</f>
        <v/>
      </c>
      <c r="K368" s="16">
        <f>IF($F368&lt;&gt;"OK","",I368/HorasDia)</f>
        <v/>
      </c>
      <c r="L368" s="16">
        <f>IF($F368&lt;&gt;"OK","",H368/HorasDia)</f>
        <v/>
      </c>
      <c r="M368" s="17">
        <f>IF($F368&lt;&gt;"OK","",IF(UPPER(TRIM($D368))="NO",INDEX(Cat_TMax,MATCH($C368,Cat_Nombre,0)),INDEX(Cat_TMin,MATCH($C368,Cat_Nombre,0))))</f>
        <v/>
      </c>
      <c r="N368" s="17">
        <f>IF($F368&lt;&gt;"OK","",INDEX(Cat_TMax,MATCH($C368,Cat_Nombre,0)))</f>
        <v/>
      </c>
      <c r="O368" s="18">
        <f>IF($F368&lt;&gt;"OK","",INDEX(Cat_POpus,MATCH($C368,Cat_Nombre,0)))</f>
        <v/>
      </c>
      <c r="P368" s="19">
        <f>IF($F368&lt;&gt;"OK","",M368/1000000*((1-O368)*UsdM_Sonnet+O368*UsdM_Opus))</f>
        <v/>
      </c>
      <c r="Q368" s="19">
        <f>IF($F368&lt;&gt;"OK","",N368/1000000*((1-O368)*UsdM_Sonnet+O368*UsdM_Opus))</f>
        <v/>
      </c>
      <c r="R368" s="19">
        <f>IF($F368&lt;&gt;"OK","",G368*TarifaHora)</f>
        <v/>
      </c>
      <c r="S368" s="19">
        <f>IF($F368&lt;&gt;"OK","",H368*TarifaHora)</f>
        <v/>
      </c>
      <c r="T368" s="10">
        <f>IF($F368&lt;&gt;"OK","",IF(COUNTIFS($A$2:$A368,$A368,$F$2:$F368,"OK")=1,MAX($T$1:$T367)+1,""))</f>
        <v/>
      </c>
    </row>
    <row r="369">
      <c r="A369" s="11" t="n"/>
      <c r="B369" s="11" t="n"/>
      <c r="C369" s="11" t="n"/>
      <c r="D369" s="11" t="n"/>
      <c r="E369" s="11" t="n"/>
      <c r="F369" s="10">
        <f>IF(AND($A369="",$B369="",$C369=""),"",IF($A369="","⚠ Falta hito",IF(ISNA(MATCH($C369,Cat_Nombre,0)),"⚠ Categoría inválida","OK")))</f>
        <v/>
      </c>
      <c r="G369" s="16">
        <f>IF($F369&lt;&gt;"OK","",IF(UPPER(TRIM($D369))="NO",INDEX(Cat_HMax,MATCH($C369,Cat_Nombre,0)),INDEX(Cat_HMin,MATCH($C369,Cat_Nombre,0))))</f>
        <v/>
      </c>
      <c r="H369" s="16">
        <f>IF($F369&lt;&gt;"OK","",INDEX(Cat_HMax,MATCH($C369,Cat_Nombre,0)))</f>
        <v/>
      </c>
      <c r="I369" s="16">
        <f>IF($F369&lt;&gt;"OK","",(G369+H369)/2)</f>
        <v/>
      </c>
      <c r="J369" s="16">
        <f>IF($F369&lt;&gt;"OK","",G369/HorasDia)</f>
        <v/>
      </c>
      <c r="K369" s="16">
        <f>IF($F369&lt;&gt;"OK","",I369/HorasDia)</f>
        <v/>
      </c>
      <c r="L369" s="16">
        <f>IF($F369&lt;&gt;"OK","",H369/HorasDia)</f>
        <v/>
      </c>
      <c r="M369" s="17">
        <f>IF($F369&lt;&gt;"OK","",IF(UPPER(TRIM($D369))="NO",INDEX(Cat_TMax,MATCH($C369,Cat_Nombre,0)),INDEX(Cat_TMin,MATCH($C369,Cat_Nombre,0))))</f>
        <v/>
      </c>
      <c r="N369" s="17">
        <f>IF($F369&lt;&gt;"OK","",INDEX(Cat_TMax,MATCH($C369,Cat_Nombre,0)))</f>
        <v/>
      </c>
      <c r="O369" s="18">
        <f>IF($F369&lt;&gt;"OK","",INDEX(Cat_POpus,MATCH($C369,Cat_Nombre,0)))</f>
        <v/>
      </c>
      <c r="P369" s="19">
        <f>IF($F369&lt;&gt;"OK","",M369/1000000*((1-O369)*UsdM_Sonnet+O369*UsdM_Opus))</f>
        <v/>
      </c>
      <c r="Q369" s="19">
        <f>IF($F369&lt;&gt;"OK","",N369/1000000*((1-O369)*UsdM_Sonnet+O369*UsdM_Opus))</f>
        <v/>
      </c>
      <c r="R369" s="19">
        <f>IF($F369&lt;&gt;"OK","",G369*TarifaHora)</f>
        <v/>
      </c>
      <c r="S369" s="19">
        <f>IF($F369&lt;&gt;"OK","",H369*TarifaHora)</f>
        <v/>
      </c>
      <c r="T369" s="10">
        <f>IF($F369&lt;&gt;"OK","",IF(COUNTIFS($A$2:$A369,$A369,$F$2:$F369,"OK")=1,MAX($T$1:$T368)+1,""))</f>
        <v/>
      </c>
    </row>
    <row r="370">
      <c r="A370" s="11" t="n"/>
      <c r="B370" s="11" t="n"/>
      <c r="C370" s="11" t="n"/>
      <c r="D370" s="11" t="n"/>
      <c r="E370" s="11" t="n"/>
      <c r="F370" s="10">
        <f>IF(AND($A370="",$B370="",$C370=""),"",IF($A370="","⚠ Falta hito",IF(ISNA(MATCH($C370,Cat_Nombre,0)),"⚠ Categoría inválida","OK")))</f>
        <v/>
      </c>
      <c r="G370" s="16">
        <f>IF($F370&lt;&gt;"OK","",IF(UPPER(TRIM($D370))="NO",INDEX(Cat_HMax,MATCH($C370,Cat_Nombre,0)),INDEX(Cat_HMin,MATCH($C370,Cat_Nombre,0))))</f>
        <v/>
      </c>
      <c r="H370" s="16">
        <f>IF($F370&lt;&gt;"OK","",INDEX(Cat_HMax,MATCH($C370,Cat_Nombre,0)))</f>
        <v/>
      </c>
      <c r="I370" s="16">
        <f>IF($F370&lt;&gt;"OK","",(G370+H370)/2)</f>
        <v/>
      </c>
      <c r="J370" s="16">
        <f>IF($F370&lt;&gt;"OK","",G370/HorasDia)</f>
        <v/>
      </c>
      <c r="K370" s="16">
        <f>IF($F370&lt;&gt;"OK","",I370/HorasDia)</f>
        <v/>
      </c>
      <c r="L370" s="16">
        <f>IF($F370&lt;&gt;"OK","",H370/HorasDia)</f>
        <v/>
      </c>
      <c r="M370" s="17">
        <f>IF($F370&lt;&gt;"OK","",IF(UPPER(TRIM($D370))="NO",INDEX(Cat_TMax,MATCH($C370,Cat_Nombre,0)),INDEX(Cat_TMin,MATCH($C370,Cat_Nombre,0))))</f>
        <v/>
      </c>
      <c r="N370" s="17">
        <f>IF($F370&lt;&gt;"OK","",INDEX(Cat_TMax,MATCH($C370,Cat_Nombre,0)))</f>
        <v/>
      </c>
      <c r="O370" s="18">
        <f>IF($F370&lt;&gt;"OK","",INDEX(Cat_POpus,MATCH($C370,Cat_Nombre,0)))</f>
        <v/>
      </c>
      <c r="P370" s="19">
        <f>IF($F370&lt;&gt;"OK","",M370/1000000*((1-O370)*UsdM_Sonnet+O370*UsdM_Opus))</f>
        <v/>
      </c>
      <c r="Q370" s="19">
        <f>IF($F370&lt;&gt;"OK","",N370/1000000*((1-O370)*UsdM_Sonnet+O370*UsdM_Opus))</f>
        <v/>
      </c>
      <c r="R370" s="19">
        <f>IF($F370&lt;&gt;"OK","",G370*TarifaHora)</f>
        <v/>
      </c>
      <c r="S370" s="19">
        <f>IF($F370&lt;&gt;"OK","",H370*TarifaHora)</f>
        <v/>
      </c>
      <c r="T370" s="10">
        <f>IF($F370&lt;&gt;"OK","",IF(COUNTIFS($A$2:$A370,$A370,$F$2:$F370,"OK")=1,MAX($T$1:$T369)+1,""))</f>
        <v/>
      </c>
    </row>
    <row r="371">
      <c r="A371" s="11" t="n"/>
      <c r="B371" s="11" t="n"/>
      <c r="C371" s="11" t="n"/>
      <c r="D371" s="11" t="n"/>
      <c r="E371" s="11" t="n"/>
      <c r="F371" s="10">
        <f>IF(AND($A371="",$B371="",$C371=""),"",IF($A371="","⚠ Falta hito",IF(ISNA(MATCH($C371,Cat_Nombre,0)),"⚠ Categoría inválida","OK")))</f>
        <v/>
      </c>
      <c r="G371" s="16">
        <f>IF($F371&lt;&gt;"OK","",IF(UPPER(TRIM($D371))="NO",INDEX(Cat_HMax,MATCH($C371,Cat_Nombre,0)),INDEX(Cat_HMin,MATCH($C371,Cat_Nombre,0))))</f>
        <v/>
      </c>
      <c r="H371" s="16">
        <f>IF($F371&lt;&gt;"OK","",INDEX(Cat_HMax,MATCH($C371,Cat_Nombre,0)))</f>
        <v/>
      </c>
      <c r="I371" s="16">
        <f>IF($F371&lt;&gt;"OK","",(G371+H371)/2)</f>
        <v/>
      </c>
      <c r="J371" s="16">
        <f>IF($F371&lt;&gt;"OK","",G371/HorasDia)</f>
        <v/>
      </c>
      <c r="K371" s="16">
        <f>IF($F371&lt;&gt;"OK","",I371/HorasDia)</f>
        <v/>
      </c>
      <c r="L371" s="16">
        <f>IF($F371&lt;&gt;"OK","",H371/HorasDia)</f>
        <v/>
      </c>
      <c r="M371" s="17">
        <f>IF($F371&lt;&gt;"OK","",IF(UPPER(TRIM($D371))="NO",INDEX(Cat_TMax,MATCH($C371,Cat_Nombre,0)),INDEX(Cat_TMin,MATCH($C371,Cat_Nombre,0))))</f>
        <v/>
      </c>
      <c r="N371" s="17">
        <f>IF($F371&lt;&gt;"OK","",INDEX(Cat_TMax,MATCH($C371,Cat_Nombre,0)))</f>
        <v/>
      </c>
      <c r="O371" s="18">
        <f>IF($F371&lt;&gt;"OK","",INDEX(Cat_POpus,MATCH($C371,Cat_Nombre,0)))</f>
        <v/>
      </c>
      <c r="P371" s="19">
        <f>IF($F371&lt;&gt;"OK","",M371/1000000*((1-O371)*UsdM_Sonnet+O371*UsdM_Opus))</f>
        <v/>
      </c>
      <c r="Q371" s="19">
        <f>IF($F371&lt;&gt;"OK","",N371/1000000*((1-O371)*UsdM_Sonnet+O371*UsdM_Opus))</f>
        <v/>
      </c>
      <c r="R371" s="19">
        <f>IF($F371&lt;&gt;"OK","",G371*TarifaHora)</f>
        <v/>
      </c>
      <c r="S371" s="19">
        <f>IF($F371&lt;&gt;"OK","",H371*TarifaHora)</f>
        <v/>
      </c>
      <c r="T371" s="10">
        <f>IF($F371&lt;&gt;"OK","",IF(COUNTIFS($A$2:$A371,$A371,$F$2:$F371,"OK")=1,MAX($T$1:$T370)+1,""))</f>
        <v/>
      </c>
    </row>
    <row r="372">
      <c r="A372" s="11" t="n"/>
      <c r="B372" s="11" t="n"/>
      <c r="C372" s="11" t="n"/>
      <c r="D372" s="11" t="n"/>
      <c r="E372" s="11" t="n"/>
      <c r="F372" s="10">
        <f>IF(AND($A372="",$B372="",$C372=""),"",IF($A372="","⚠ Falta hito",IF(ISNA(MATCH($C372,Cat_Nombre,0)),"⚠ Categoría inválida","OK")))</f>
        <v/>
      </c>
      <c r="G372" s="16">
        <f>IF($F372&lt;&gt;"OK","",IF(UPPER(TRIM($D372))="NO",INDEX(Cat_HMax,MATCH($C372,Cat_Nombre,0)),INDEX(Cat_HMin,MATCH($C372,Cat_Nombre,0))))</f>
        <v/>
      </c>
      <c r="H372" s="16">
        <f>IF($F372&lt;&gt;"OK","",INDEX(Cat_HMax,MATCH($C372,Cat_Nombre,0)))</f>
        <v/>
      </c>
      <c r="I372" s="16">
        <f>IF($F372&lt;&gt;"OK","",(G372+H372)/2)</f>
        <v/>
      </c>
      <c r="J372" s="16">
        <f>IF($F372&lt;&gt;"OK","",G372/HorasDia)</f>
        <v/>
      </c>
      <c r="K372" s="16">
        <f>IF($F372&lt;&gt;"OK","",I372/HorasDia)</f>
        <v/>
      </c>
      <c r="L372" s="16">
        <f>IF($F372&lt;&gt;"OK","",H372/HorasDia)</f>
        <v/>
      </c>
      <c r="M372" s="17">
        <f>IF($F372&lt;&gt;"OK","",IF(UPPER(TRIM($D372))="NO",INDEX(Cat_TMax,MATCH($C372,Cat_Nombre,0)),INDEX(Cat_TMin,MATCH($C372,Cat_Nombre,0))))</f>
        <v/>
      </c>
      <c r="N372" s="17">
        <f>IF($F372&lt;&gt;"OK","",INDEX(Cat_TMax,MATCH($C372,Cat_Nombre,0)))</f>
        <v/>
      </c>
      <c r="O372" s="18">
        <f>IF($F372&lt;&gt;"OK","",INDEX(Cat_POpus,MATCH($C372,Cat_Nombre,0)))</f>
        <v/>
      </c>
      <c r="P372" s="19">
        <f>IF($F372&lt;&gt;"OK","",M372/1000000*((1-O372)*UsdM_Sonnet+O372*UsdM_Opus))</f>
        <v/>
      </c>
      <c r="Q372" s="19">
        <f>IF($F372&lt;&gt;"OK","",N372/1000000*((1-O372)*UsdM_Sonnet+O372*UsdM_Opus))</f>
        <v/>
      </c>
      <c r="R372" s="19">
        <f>IF($F372&lt;&gt;"OK","",G372*TarifaHora)</f>
        <v/>
      </c>
      <c r="S372" s="19">
        <f>IF($F372&lt;&gt;"OK","",H372*TarifaHora)</f>
        <v/>
      </c>
      <c r="T372" s="10">
        <f>IF($F372&lt;&gt;"OK","",IF(COUNTIFS($A$2:$A372,$A372,$F$2:$F372,"OK")=1,MAX($T$1:$T371)+1,""))</f>
        <v/>
      </c>
    </row>
    <row r="373">
      <c r="A373" s="11" t="n"/>
      <c r="B373" s="11" t="n"/>
      <c r="C373" s="11" t="n"/>
      <c r="D373" s="11" t="n"/>
      <c r="E373" s="11" t="n"/>
      <c r="F373" s="10">
        <f>IF(AND($A373="",$B373="",$C373=""),"",IF($A373="","⚠ Falta hito",IF(ISNA(MATCH($C373,Cat_Nombre,0)),"⚠ Categoría inválida","OK")))</f>
        <v/>
      </c>
      <c r="G373" s="16">
        <f>IF($F373&lt;&gt;"OK","",IF(UPPER(TRIM($D373))="NO",INDEX(Cat_HMax,MATCH($C373,Cat_Nombre,0)),INDEX(Cat_HMin,MATCH($C373,Cat_Nombre,0))))</f>
        <v/>
      </c>
      <c r="H373" s="16">
        <f>IF($F373&lt;&gt;"OK","",INDEX(Cat_HMax,MATCH($C373,Cat_Nombre,0)))</f>
        <v/>
      </c>
      <c r="I373" s="16">
        <f>IF($F373&lt;&gt;"OK","",(G373+H373)/2)</f>
        <v/>
      </c>
      <c r="J373" s="16">
        <f>IF($F373&lt;&gt;"OK","",G373/HorasDia)</f>
        <v/>
      </c>
      <c r="K373" s="16">
        <f>IF($F373&lt;&gt;"OK","",I373/HorasDia)</f>
        <v/>
      </c>
      <c r="L373" s="16">
        <f>IF($F373&lt;&gt;"OK","",H373/HorasDia)</f>
        <v/>
      </c>
      <c r="M373" s="17">
        <f>IF($F373&lt;&gt;"OK","",IF(UPPER(TRIM($D373))="NO",INDEX(Cat_TMax,MATCH($C373,Cat_Nombre,0)),INDEX(Cat_TMin,MATCH($C373,Cat_Nombre,0))))</f>
        <v/>
      </c>
      <c r="N373" s="17">
        <f>IF($F373&lt;&gt;"OK","",INDEX(Cat_TMax,MATCH($C373,Cat_Nombre,0)))</f>
        <v/>
      </c>
      <c r="O373" s="18">
        <f>IF($F373&lt;&gt;"OK","",INDEX(Cat_POpus,MATCH($C373,Cat_Nombre,0)))</f>
        <v/>
      </c>
      <c r="P373" s="19">
        <f>IF($F373&lt;&gt;"OK","",M373/1000000*((1-O373)*UsdM_Sonnet+O373*UsdM_Opus))</f>
        <v/>
      </c>
      <c r="Q373" s="19">
        <f>IF($F373&lt;&gt;"OK","",N373/1000000*((1-O373)*UsdM_Sonnet+O373*UsdM_Opus))</f>
        <v/>
      </c>
      <c r="R373" s="19">
        <f>IF($F373&lt;&gt;"OK","",G373*TarifaHora)</f>
        <v/>
      </c>
      <c r="S373" s="19">
        <f>IF($F373&lt;&gt;"OK","",H373*TarifaHora)</f>
        <v/>
      </c>
      <c r="T373" s="10">
        <f>IF($F373&lt;&gt;"OK","",IF(COUNTIFS($A$2:$A373,$A373,$F$2:$F373,"OK")=1,MAX($T$1:$T372)+1,""))</f>
        <v/>
      </c>
    </row>
    <row r="374">
      <c r="A374" s="11" t="n"/>
      <c r="B374" s="11" t="n"/>
      <c r="C374" s="11" t="n"/>
      <c r="D374" s="11" t="n"/>
      <c r="E374" s="11" t="n"/>
      <c r="F374" s="10">
        <f>IF(AND($A374="",$B374="",$C374=""),"",IF($A374="","⚠ Falta hito",IF(ISNA(MATCH($C374,Cat_Nombre,0)),"⚠ Categoría inválida","OK")))</f>
        <v/>
      </c>
      <c r="G374" s="16">
        <f>IF($F374&lt;&gt;"OK","",IF(UPPER(TRIM($D374))="NO",INDEX(Cat_HMax,MATCH($C374,Cat_Nombre,0)),INDEX(Cat_HMin,MATCH($C374,Cat_Nombre,0))))</f>
        <v/>
      </c>
      <c r="H374" s="16">
        <f>IF($F374&lt;&gt;"OK","",INDEX(Cat_HMax,MATCH($C374,Cat_Nombre,0)))</f>
        <v/>
      </c>
      <c r="I374" s="16">
        <f>IF($F374&lt;&gt;"OK","",(G374+H374)/2)</f>
        <v/>
      </c>
      <c r="J374" s="16">
        <f>IF($F374&lt;&gt;"OK","",G374/HorasDia)</f>
        <v/>
      </c>
      <c r="K374" s="16">
        <f>IF($F374&lt;&gt;"OK","",I374/HorasDia)</f>
        <v/>
      </c>
      <c r="L374" s="16">
        <f>IF($F374&lt;&gt;"OK","",H374/HorasDia)</f>
        <v/>
      </c>
      <c r="M374" s="17">
        <f>IF($F374&lt;&gt;"OK","",IF(UPPER(TRIM($D374))="NO",INDEX(Cat_TMax,MATCH($C374,Cat_Nombre,0)),INDEX(Cat_TMin,MATCH($C374,Cat_Nombre,0))))</f>
        <v/>
      </c>
      <c r="N374" s="17">
        <f>IF($F374&lt;&gt;"OK","",INDEX(Cat_TMax,MATCH($C374,Cat_Nombre,0)))</f>
        <v/>
      </c>
      <c r="O374" s="18">
        <f>IF($F374&lt;&gt;"OK","",INDEX(Cat_POpus,MATCH($C374,Cat_Nombre,0)))</f>
        <v/>
      </c>
      <c r="P374" s="19">
        <f>IF($F374&lt;&gt;"OK","",M374/1000000*((1-O374)*UsdM_Sonnet+O374*UsdM_Opus))</f>
        <v/>
      </c>
      <c r="Q374" s="19">
        <f>IF($F374&lt;&gt;"OK","",N374/1000000*((1-O374)*UsdM_Sonnet+O374*UsdM_Opus))</f>
        <v/>
      </c>
      <c r="R374" s="19">
        <f>IF($F374&lt;&gt;"OK","",G374*TarifaHora)</f>
        <v/>
      </c>
      <c r="S374" s="19">
        <f>IF($F374&lt;&gt;"OK","",H374*TarifaHora)</f>
        <v/>
      </c>
      <c r="T374" s="10">
        <f>IF($F374&lt;&gt;"OK","",IF(COUNTIFS($A$2:$A374,$A374,$F$2:$F374,"OK")=1,MAX($T$1:$T373)+1,""))</f>
        <v/>
      </c>
    </row>
    <row r="375">
      <c r="A375" s="11" t="n"/>
      <c r="B375" s="11" t="n"/>
      <c r="C375" s="11" t="n"/>
      <c r="D375" s="11" t="n"/>
      <c r="E375" s="11" t="n"/>
      <c r="F375" s="10">
        <f>IF(AND($A375="",$B375="",$C375=""),"",IF($A375="","⚠ Falta hito",IF(ISNA(MATCH($C375,Cat_Nombre,0)),"⚠ Categoría inválida","OK")))</f>
        <v/>
      </c>
      <c r="G375" s="16">
        <f>IF($F375&lt;&gt;"OK","",IF(UPPER(TRIM($D375))="NO",INDEX(Cat_HMax,MATCH($C375,Cat_Nombre,0)),INDEX(Cat_HMin,MATCH($C375,Cat_Nombre,0))))</f>
        <v/>
      </c>
      <c r="H375" s="16">
        <f>IF($F375&lt;&gt;"OK","",INDEX(Cat_HMax,MATCH($C375,Cat_Nombre,0)))</f>
        <v/>
      </c>
      <c r="I375" s="16">
        <f>IF($F375&lt;&gt;"OK","",(G375+H375)/2)</f>
        <v/>
      </c>
      <c r="J375" s="16">
        <f>IF($F375&lt;&gt;"OK","",G375/HorasDia)</f>
        <v/>
      </c>
      <c r="K375" s="16">
        <f>IF($F375&lt;&gt;"OK","",I375/HorasDia)</f>
        <v/>
      </c>
      <c r="L375" s="16">
        <f>IF($F375&lt;&gt;"OK","",H375/HorasDia)</f>
        <v/>
      </c>
      <c r="M375" s="17">
        <f>IF($F375&lt;&gt;"OK","",IF(UPPER(TRIM($D375))="NO",INDEX(Cat_TMax,MATCH($C375,Cat_Nombre,0)),INDEX(Cat_TMin,MATCH($C375,Cat_Nombre,0))))</f>
        <v/>
      </c>
      <c r="N375" s="17">
        <f>IF($F375&lt;&gt;"OK","",INDEX(Cat_TMax,MATCH($C375,Cat_Nombre,0)))</f>
        <v/>
      </c>
      <c r="O375" s="18">
        <f>IF($F375&lt;&gt;"OK","",INDEX(Cat_POpus,MATCH($C375,Cat_Nombre,0)))</f>
        <v/>
      </c>
      <c r="P375" s="19">
        <f>IF($F375&lt;&gt;"OK","",M375/1000000*((1-O375)*UsdM_Sonnet+O375*UsdM_Opus))</f>
        <v/>
      </c>
      <c r="Q375" s="19">
        <f>IF($F375&lt;&gt;"OK","",N375/1000000*((1-O375)*UsdM_Sonnet+O375*UsdM_Opus))</f>
        <v/>
      </c>
      <c r="R375" s="19">
        <f>IF($F375&lt;&gt;"OK","",G375*TarifaHora)</f>
        <v/>
      </c>
      <c r="S375" s="19">
        <f>IF($F375&lt;&gt;"OK","",H375*TarifaHora)</f>
        <v/>
      </c>
      <c r="T375" s="10">
        <f>IF($F375&lt;&gt;"OK","",IF(COUNTIFS($A$2:$A375,$A375,$F$2:$F375,"OK")=1,MAX($T$1:$T374)+1,""))</f>
        <v/>
      </c>
    </row>
    <row r="376">
      <c r="A376" s="11" t="n"/>
      <c r="B376" s="11" t="n"/>
      <c r="C376" s="11" t="n"/>
      <c r="D376" s="11" t="n"/>
      <c r="E376" s="11" t="n"/>
      <c r="F376" s="10">
        <f>IF(AND($A376="",$B376="",$C376=""),"",IF($A376="","⚠ Falta hito",IF(ISNA(MATCH($C376,Cat_Nombre,0)),"⚠ Categoría inválida","OK")))</f>
        <v/>
      </c>
      <c r="G376" s="16">
        <f>IF($F376&lt;&gt;"OK","",IF(UPPER(TRIM($D376))="NO",INDEX(Cat_HMax,MATCH($C376,Cat_Nombre,0)),INDEX(Cat_HMin,MATCH($C376,Cat_Nombre,0))))</f>
        <v/>
      </c>
      <c r="H376" s="16">
        <f>IF($F376&lt;&gt;"OK","",INDEX(Cat_HMax,MATCH($C376,Cat_Nombre,0)))</f>
        <v/>
      </c>
      <c r="I376" s="16">
        <f>IF($F376&lt;&gt;"OK","",(G376+H376)/2)</f>
        <v/>
      </c>
      <c r="J376" s="16">
        <f>IF($F376&lt;&gt;"OK","",G376/HorasDia)</f>
        <v/>
      </c>
      <c r="K376" s="16">
        <f>IF($F376&lt;&gt;"OK","",I376/HorasDia)</f>
        <v/>
      </c>
      <c r="L376" s="16">
        <f>IF($F376&lt;&gt;"OK","",H376/HorasDia)</f>
        <v/>
      </c>
      <c r="M376" s="17">
        <f>IF($F376&lt;&gt;"OK","",IF(UPPER(TRIM($D376))="NO",INDEX(Cat_TMax,MATCH($C376,Cat_Nombre,0)),INDEX(Cat_TMin,MATCH($C376,Cat_Nombre,0))))</f>
        <v/>
      </c>
      <c r="N376" s="17">
        <f>IF($F376&lt;&gt;"OK","",INDEX(Cat_TMax,MATCH($C376,Cat_Nombre,0)))</f>
        <v/>
      </c>
      <c r="O376" s="18">
        <f>IF($F376&lt;&gt;"OK","",INDEX(Cat_POpus,MATCH($C376,Cat_Nombre,0)))</f>
        <v/>
      </c>
      <c r="P376" s="19">
        <f>IF($F376&lt;&gt;"OK","",M376/1000000*((1-O376)*UsdM_Sonnet+O376*UsdM_Opus))</f>
        <v/>
      </c>
      <c r="Q376" s="19">
        <f>IF($F376&lt;&gt;"OK","",N376/1000000*((1-O376)*UsdM_Sonnet+O376*UsdM_Opus))</f>
        <v/>
      </c>
      <c r="R376" s="19">
        <f>IF($F376&lt;&gt;"OK","",G376*TarifaHora)</f>
        <v/>
      </c>
      <c r="S376" s="19">
        <f>IF($F376&lt;&gt;"OK","",H376*TarifaHora)</f>
        <v/>
      </c>
      <c r="T376" s="10">
        <f>IF($F376&lt;&gt;"OK","",IF(COUNTIFS($A$2:$A376,$A376,$F$2:$F376,"OK")=1,MAX($T$1:$T375)+1,""))</f>
        <v/>
      </c>
    </row>
    <row r="377">
      <c r="A377" s="11" t="n"/>
      <c r="B377" s="11" t="n"/>
      <c r="C377" s="11" t="n"/>
      <c r="D377" s="11" t="n"/>
      <c r="E377" s="11" t="n"/>
      <c r="F377" s="10">
        <f>IF(AND($A377="",$B377="",$C377=""),"",IF($A377="","⚠ Falta hito",IF(ISNA(MATCH($C377,Cat_Nombre,0)),"⚠ Categoría inválida","OK")))</f>
        <v/>
      </c>
      <c r="G377" s="16">
        <f>IF($F377&lt;&gt;"OK","",IF(UPPER(TRIM($D377))="NO",INDEX(Cat_HMax,MATCH($C377,Cat_Nombre,0)),INDEX(Cat_HMin,MATCH($C377,Cat_Nombre,0))))</f>
        <v/>
      </c>
      <c r="H377" s="16">
        <f>IF($F377&lt;&gt;"OK","",INDEX(Cat_HMax,MATCH($C377,Cat_Nombre,0)))</f>
        <v/>
      </c>
      <c r="I377" s="16">
        <f>IF($F377&lt;&gt;"OK","",(G377+H377)/2)</f>
        <v/>
      </c>
      <c r="J377" s="16">
        <f>IF($F377&lt;&gt;"OK","",G377/HorasDia)</f>
        <v/>
      </c>
      <c r="K377" s="16">
        <f>IF($F377&lt;&gt;"OK","",I377/HorasDia)</f>
        <v/>
      </c>
      <c r="L377" s="16">
        <f>IF($F377&lt;&gt;"OK","",H377/HorasDia)</f>
        <v/>
      </c>
      <c r="M377" s="17">
        <f>IF($F377&lt;&gt;"OK","",IF(UPPER(TRIM($D377))="NO",INDEX(Cat_TMax,MATCH($C377,Cat_Nombre,0)),INDEX(Cat_TMin,MATCH($C377,Cat_Nombre,0))))</f>
        <v/>
      </c>
      <c r="N377" s="17">
        <f>IF($F377&lt;&gt;"OK","",INDEX(Cat_TMax,MATCH($C377,Cat_Nombre,0)))</f>
        <v/>
      </c>
      <c r="O377" s="18">
        <f>IF($F377&lt;&gt;"OK","",INDEX(Cat_POpus,MATCH($C377,Cat_Nombre,0)))</f>
        <v/>
      </c>
      <c r="P377" s="19">
        <f>IF($F377&lt;&gt;"OK","",M377/1000000*((1-O377)*UsdM_Sonnet+O377*UsdM_Opus))</f>
        <v/>
      </c>
      <c r="Q377" s="19">
        <f>IF($F377&lt;&gt;"OK","",N377/1000000*((1-O377)*UsdM_Sonnet+O377*UsdM_Opus))</f>
        <v/>
      </c>
      <c r="R377" s="19">
        <f>IF($F377&lt;&gt;"OK","",G377*TarifaHora)</f>
        <v/>
      </c>
      <c r="S377" s="19">
        <f>IF($F377&lt;&gt;"OK","",H377*TarifaHora)</f>
        <v/>
      </c>
      <c r="T377" s="10">
        <f>IF($F377&lt;&gt;"OK","",IF(COUNTIFS($A$2:$A377,$A377,$F$2:$F377,"OK")=1,MAX($T$1:$T376)+1,""))</f>
        <v/>
      </c>
    </row>
    <row r="378">
      <c r="A378" s="11" t="n"/>
      <c r="B378" s="11" t="n"/>
      <c r="C378" s="11" t="n"/>
      <c r="D378" s="11" t="n"/>
      <c r="E378" s="11" t="n"/>
      <c r="F378" s="10">
        <f>IF(AND($A378="",$B378="",$C378=""),"",IF($A378="","⚠ Falta hito",IF(ISNA(MATCH($C378,Cat_Nombre,0)),"⚠ Categoría inválida","OK")))</f>
        <v/>
      </c>
      <c r="G378" s="16">
        <f>IF($F378&lt;&gt;"OK","",IF(UPPER(TRIM($D378))="NO",INDEX(Cat_HMax,MATCH($C378,Cat_Nombre,0)),INDEX(Cat_HMin,MATCH($C378,Cat_Nombre,0))))</f>
        <v/>
      </c>
      <c r="H378" s="16">
        <f>IF($F378&lt;&gt;"OK","",INDEX(Cat_HMax,MATCH($C378,Cat_Nombre,0)))</f>
        <v/>
      </c>
      <c r="I378" s="16">
        <f>IF($F378&lt;&gt;"OK","",(G378+H378)/2)</f>
        <v/>
      </c>
      <c r="J378" s="16">
        <f>IF($F378&lt;&gt;"OK","",G378/HorasDia)</f>
        <v/>
      </c>
      <c r="K378" s="16">
        <f>IF($F378&lt;&gt;"OK","",I378/HorasDia)</f>
        <v/>
      </c>
      <c r="L378" s="16">
        <f>IF($F378&lt;&gt;"OK","",H378/HorasDia)</f>
        <v/>
      </c>
      <c r="M378" s="17">
        <f>IF($F378&lt;&gt;"OK","",IF(UPPER(TRIM($D378))="NO",INDEX(Cat_TMax,MATCH($C378,Cat_Nombre,0)),INDEX(Cat_TMin,MATCH($C378,Cat_Nombre,0))))</f>
        <v/>
      </c>
      <c r="N378" s="17">
        <f>IF($F378&lt;&gt;"OK","",INDEX(Cat_TMax,MATCH($C378,Cat_Nombre,0)))</f>
        <v/>
      </c>
      <c r="O378" s="18">
        <f>IF($F378&lt;&gt;"OK","",INDEX(Cat_POpus,MATCH($C378,Cat_Nombre,0)))</f>
        <v/>
      </c>
      <c r="P378" s="19">
        <f>IF($F378&lt;&gt;"OK","",M378/1000000*((1-O378)*UsdM_Sonnet+O378*UsdM_Opus))</f>
        <v/>
      </c>
      <c r="Q378" s="19">
        <f>IF($F378&lt;&gt;"OK","",N378/1000000*((1-O378)*UsdM_Sonnet+O378*UsdM_Opus))</f>
        <v/>
      </c>
      <c r="R378" s="19">
        <f>IF($F378&lt;&gt;"OK","",G378*TarifaHora)</f>
        <v/>
      </c>
      <c r="S378" s="19">
        <f>IF($F378&lt;&gt;"OK","",H378*TarifaHora)</f>
        <v/>
      </c>
      <c r="T378" s="10">
        <f>IF($F378&lt;&gt;"OK","",IF(COUNTIFS($A$2:$A378,$A378,$F$2:$F378,"OK")=1,MAX($T$1:$T377)+1,""))</f>
        <v/>
      </c>
    </row>
    <row r="379">
      <c r="A379" s="11" t="n"/>
      <c r="B379" s="11" t="n"/>
      <c r="C379" s="11" t="n"/>
      <c r="D379" s="11" t="n"/>
      <c r="E379" s="11" t="n"/>
      <c r="F379" s="10">
        <f>IF(AND($A379="",$B379="",$C379=""),"",IF($A379="","⚠ Falta hito",IF(ISNA(MATCH($C379,Cat_Nombre,0)),"⚠ Categoría inválida","OK")))</f>
        <v/>
      </c>
      <c r="G379" s="16">
        <f>IF($F379&lt;&gt;"OK","",IF(UPPER(TRIM($D379))="NO",INDEX(Cat_HMax,MATCH($C379,Cat_Nombre,0)),INDEX(Cat_HMin,MATCH($C379,Cat_Nombre,0))))</f>
        <v/>
      </c>
      <c r="H379" s="16">
        <f>IF($F379&lt;&gt;"OK","",INDEX(Cat_HMax,MATCH($C379,Cat_Nombre,0)))</f>
        <v/>
      </c>
      <c r="I379" s="16">
        <f>IF($F379&lt;&gt;"OK","",(G379+H379)/2)</f>
        <v/>
      </c>
      <c r="J379" s="16">
        <f>IF($F379&lt;&gt;"OK","",G379/HorasDia)</f>
        <v/>
      </c>
      <c r="K379" s="16">
        <f>IF($F379&lt;&gt;"OK","",I379/HorasDia)</f>
        <v/>
      </c>
      <c r="L379" s="16">
        <f>IF($F379&lt;&gt;"OK","",H379/HorasDia)</f>
        <v/>
      </c>
      <c r="M379" s="17">
        <f>IF($F379&lt;&gt;"OK","",IF(UPPER(TRIM($D379))="NO",INDEX(Cat_TMax,MATCH($C379,Cat_Nombre,0)),INDEX(Cat_TMin,MATCH($C379,Cat_Nombre,0))))</f>
        <v/>
      </c>
      <c r="N379" s="17">
        <f>IF($F379&lt;&gt;"OK","",INDEX(Cat_TMax,MATCH($C379,Cat_Nombre,0)))</f>
        <v/>
      </c>
      <c r="O379" s="18">
        <f>IF($F379&lt;&gt;"OK","",INDEX(Cat_POpus,MATCH($C379,Cat_Nombre,0)))</f>
        <v/>
      </c>
      <c r="P379" s="19">
        <f>IF($F379&lt;&gt;"OK","",M379/1000000*((1-O379)*UsdM_Sonnet+O379*UsdM_Opus))</f>
        <v/>
      </c>
      <c r="Q379" s="19">
        <f>IF($F379&lt;&gt;"OK","",N379/1000000*((1-O379)*UsdM_Sonnet+O379*UsdM_Opus))</f>
        <v/>
      </c>
      <c r="R379" s="19">
        <f>IF($F379&lt;&gt;"OK","",G379*TarifaHora)</f>
        <v/>
      </c>
      <c r="S379" s="19">
        <f>IF($F379&lt;&gt;"OK","",H379*TarifaHora)</f>
        <v/>
      </c>
      <c r="T379" s="10">
        <f>IF($F379&lt;&gt;"OK","",IF(COUNTIFS($A$2:$A379,$A379,$F$2:$F379,"OK")=1,MAX($T$1:$T378)+1,""))</f>
        <v/>
      </c>
    </row>
    <row r="380">
      <c r="A380" s="11" t="n"/>
      <c r="B380" s="11" t="n"/>
      <c r="C380" s="11" t="n"/>
      <c r="D380" s="11" t="n"/>
      <c r="E380" s="11" t="n"/>
      <c r="F380" s="10">
        <f>IF(AND($A380="",$B380="",$C380=""),"",IF($A380="","⚠ Falta hito",IF(ISNA(MATCH($C380,Cat_Nombre,0)),"⚠ Categoría inválida","OK")))</f>
        <v/>
      </c>
      <c r="G380" s="16">
        <f>IF($F380&lt;&gt;"OK","",IF(UPPER(TRIM($D380))="NO",INDEX(Cat_HMax,MATCH($C380,Cat_Nombre,0)),INDEX(Cat_HMin,MATCH($C380,Cat_Nombre,0))))</f>
        <v/>
      </c>
      <c r="H380" s="16">
        <f>IF($F380&lt;&gt;"OK","",INDEX(Cat_HMax,MATCH($C380,Cat_Nombre,0)))</f>
        <v/>
      </c>
      <c r="I380" s="16">
        <f>IF($F380&lt;&gt;"OK","",(G380+H380)/2)</f>
        <v/>
      </c>
      <c r="J380" s="16">
        <f>IF($F380&lt;&gt;"OK","",G380/HorasDia)</f>
        <v/>
      </c>
      <c r="K380" s="16">
        <f>IF($F380&lt;&gt;"OK","",I380/HorasDia)</f>
        <v/>
      </c>
      <c r="L380" s="16">
        <f>IF($F380&lt;&gt;"OK","",H380/HorasDia)</f>
        <v/>
      </c>
      <c r="M380" s="17">
        <f>IF($F380&lt;&gt;"OK","",IF(UPPER(TRIM($D380))="NO",INDEX(Cat_TMax,MATCH($C380,Cat_Nombre,0)),INDEX(Cat_TMin,MATCH($C380,Cat_Nombre,0))))</f>
        <v/>
      </c>
      <c r="N380" s="17">
        <f>IF($F380&lt;&gt;"OK","",INDEX(Cat_TMax,MATCH($C380,Cat_Nombre,0)))</f>
        <v/>
      </c>
      <c r="O380" s="18">
        <f>IF($F380&lt;&gt;"OK","",INDEX(Cat_POpus,MATCH($C380,Cat_Nombre,0)))</f>
        <v/>
      </c>
      <c r="P380" s="19">
        <f>IF($F380&lt;&gt;"OK","",M380/1000000*((1-O380)*UsdM_Sonnet+O380*UsdM_Opus))</f>
        <v/>
      </c>
      <c r="Q380" s="19">
        <f>IF($F380&lt;&gt;"OK","",N380/1000000*((1-O380)*UsdM_Sonnet+O380*UsdM_Opus))</f>
        <v/>
      </c>
      <c r="R380" s="19">
        <f>IF($F380&lt;&gt;"OK","",G380*TarifaHora)</f>
        <v/>
      </c>
      <c r="S380" s="19">
        <f>IF($F380&lt;&gt;"OK","",H380*TarifaHora)</f>
        <v/>
      </c>
      <c r="T380" s="10">
        <f>IF($F380&lt;&gt;"OK","",IF(COUNTIFS($A$2:$A380,$A380,$F$2:$F380,"OK")=1,MAX($T$1:$T379)+1,""))</f>
        <v/>
      </c>
    </row>
    <row r="381">
      <c r="A381" s="11" t="n"/>
      <c r="B381" s="11" t="n"/>
      <c r="C381" s="11" t="n"/>
      <c r="D381" s="11" t="n"/>
      <c r="E381" s="11" t="n"/>
      <c r="F381" s="10">
        <f>IF(AND($A381="",$B381="",$C381=""),"",IF($A381="","⚠ Falta hito",IF(ISNA(MATCH($C381,Cat_Nombre,0)),"⚠ Categoría inválida","OK")))</f>
        <v/>
      </c>
      <c r="G381" s="16">
        <f>IF($F381&lt;&gt;"OK","",IF(UPPER(TRIM($D381))="NO",INDEX(Cat_HMax,MATCH($C381,Cat_Nombre,0)),INDEX(Cat_HMin,MATCH($C381,Cat_Nombre,0))))</f>
        <v/>
      </c>
      <c r="H381" s="16">
        <f>IF($F381&lt;&gt;"OK","",INDEX(Cat_HMax,MATCH($C381,Cat_Nombre,0)))</f>
        <v/>
      </c>
      <c r="I381" s="16">
        <f>IF($F381&lt;&gt;"OK","",(G381+H381)/2)</f>
        <v/>
      </c>
      <c r="J381" s="16">
        <f>IF($F381&lt;&gt;"OK","",G381/HorasDia)</f>
        <v/>
      </c>
      <c r="K381" s="16">
        <f>IF($F381&lt;&gt;"OK","",I381/HorasDia)</f>
        <v/>
      </c>
      <c r="L381" s="16">
        <f>IF($F381&lt;&gt;"OK","",H381/HorasDia)</f>
        <v/>
      </c>
      <c r="M381" s="17">
        <f>IF($F381&lt;&gt;"OK","",IF(UPPER(TRIM($D381))="NO",INDEX(Cat_TMax,MATCH($C381,Cat_Nombre,0)),INDEX(Cat_TMin,MATCH($C381,Cat_Nombre,0))))</f>
        <v/>
      </c>
      <c r="N381" s="17">
        <f>IF($F381&lt;&gt;"OK","",INDEX(Cat_TMax,MATCH($C381,Cat_Nombre,0)))</f>
        <v/>
      </c>
      <c r="O381" s="18">
        <f>IF($F381&lt;&gt;"OK","",INDEX(Cat_POpus,MATCH($C381,Cat_Nombre,0)))</f>
        <v/>
      </c>
      <c r="P381" s="19">
        <f>IF($F381&lt;&gt;"OK","",M381/1000000*((1-O381)*UsdM_Sonnet+O381*UsdM_Opus))</f>
        <v/>
      </c>
      <c r="Q381" s="19">
        <f>IF($F381&lt;&gt;"OK","",N381/1000000*((1-O381)*UsdM_Sonnet+O381*UsdM_Opus))</f>
        <v/>
      </c>
      <c r="R381" s="19">
        <f>IF($F381&lt;&gt;"OK","",G381*TarifaHora)</f>
        <v/>
      </c>
      <c r="S381" s="19">
        <f>IF($F381&lt;&gt;"OK","",H381*TarifaHora)</f>
        <v/>
      </c>
      <c r="T381" s="10">
        <f>IF($F381&lt;&gt;"OK","",IF(COUNTIFS($A$2:$A381,$A381,$F$2:$F381,"OK")=1,MAX($T$1:$T380)+1,""))</f>
        <v/>
      </c>
    </row>
    <row r="382">
      <c r="A382" s="11" t="n"/>
      <c r="B382" s="11" t="n"/>
      <c r="C382" s="11" t="n"/>
      <c r="D382" s="11" t="n"/>
      <c r="E382" s="11" t="n"/>
      <c r="F382" s="10">
        <f>IF(AND($A382="",$B382="",$C382=""),"",IF($A382="","⚠ Falta hito",IF(ISNA(MATCH($C382,Cat_Nombre,0)),"⚠ Categoría inválida","OK")))</f>
        <v/>
      </c>
      <c r="G382" s="16">
        <f>IF($F382&lt;&gt;"OK","",IF(UPPER(TRIM($D382))="NO",INDEX(Cat_HMax,MATCH($C382,Cat_Nombre,0)),INDEX(Cat_HMin,MATCH($C382,Cat_Nombre,0))))</f>
        <v/>
      </c>
      <c r="H382" s="16">
        <f>IF($F382&lt;&gt;"OK","",INDEX(Cat_HMax,MATCH($C382,Cat_Nombre,0)))</f>
        <v/>
      </c>
      <c r="I382" s="16">
        <f>IF($F382&lt;&gt;"OK","",(G382+H382)/2)</f>
        <v/>
      </c>
      <c r="J382" s="16">
        <f>IF($F382&lt;&gt;"OK","",G382/HorasDia)</f>
        <v/>
      </c>
      <c r="K382" s="16">
        <f>IF($F382&lt;&gt;"OK","",I382/HorasDia)</f>
        <v/>
      </c>
      <c r="L382" s="16">
        <f>IF($F382&lt;&gt;"OK","",H382/HorasDia)</f>
        <v/>
      </c>
      <c r="M382" s="17">
        <f>IF($F382&lt;&gt;"OK","",IF(UPPER(TRIM($D382))="NO",INDEX(Cat_TMax,MATCH($C382,Cat_Nombre,0)),INDEX(Cat_TMin,MATCH($C382,Cat_Nombre,0))))</f>
        <v/>
      </c>
      <c r="N382" s="17">
        <f>IF($F382&lt;&gt;"OK","",INDEX(Cat_TMax,MATCH($C382,Cat_Nombre,0)))</f>
        <v/>
      </c>
      <c r="O382" s="18">
        <f>IF($F382&lt;&gt;"OK","",INDEX(Cat_POpus,MATCH($C382,Cat_Nombre,0)))</f>
        <v/>
      </c>
      <c r="P382" s="19">
        <f>IF($F382&lt;&gt;"OK","",M382/1000000*((1-O382)*UsdM_Sonnet+O382*UsdM_Opus))</f>
        <v/>
      </c>
      <c r="Q382" s="19">
        <f>IF($F382&lt;&gt;"OK","",N382/1000000*((1-O382)*UsdM_Sonnet+O382*UsdM_Opus))</f>
        <v/>
      </c>
      <c r="R382" s="19">
        <f>IF($F382&lt;&gt;"OK","",G382*TarifaHora)</f>
        <v/>
      </c>
      <c r="S382" s="19">
        <f>IF($F382&lt;&gt;"OK","",H382*TarifaHora)</f>
        <v/>
      </c>
      <c r="T382" s="10">
        <f>IF($F382&lt;&gt;"OK","",IF(COUNTIFS($A$2:$A382,$A382,$F$2:$F382,"OK")=1,MAX($T$1:$T381)+1,""))</f>
        <v/>
      </c>
    </row>
    <row r="383">
      <c r="A383" s="11" t="n"/>
      <c r="B383" s="11" t="n"/>
      <c r="C383" s="11" t="n"/>
      <c r="D383" s="11" t="n"/>
      <c r="E383" s="11" t="n"/>
      <c r="F383" s="10">
        <f>IF(AND($A383="",$B383="",$C383=""),"",IF($A383="","⚠ Falta hito",IF(ISNA(MATCH($C383,Cat_Nombre,0)),"⚠ Categoría inválida","OK")))</f>
        <v/>
      </c>
      <c r="G383" s="16">
        <f>IF($F383&lt;&gt;"OK","",IF(UPPER(TRIM($D383))="NO",INDEX(Cat_HMax,MATCH($C383,Cat_Nombre,0)),INDEX(Cat_HMin,MATCH($C383,Cat_Nombre,0))))</f>
        <v/>
      </c>
      <c r="H383" s="16">
        <f>IF($F383&lt;&gt;"OK","",INDEX(Cat_HMax,MATCH($C383,Cat_Nombre,0)))</f>
        <v/>
      </c>
      <c r="I383" s="16">
        <f>IF($F383&lt;&gt;"OK","",(G383+H383)/2)</f>
        <v/>
      </c>
      <c r="J383" s="16">
        <f>IF($F383&lt;&gt;"OK","",G383/HorasDia)</f>
        <v/>
      </c>
      <c r="K383" s="16">
        <f>IF($F383&lt;&gt;"OK","",I383/HorasDia)</f>
        <v/>
      </c>
      <c r="L383" s="16">
        <f>IF($F383&lt;&gt;"OK","",H383/HorasDia)</f>
        <v/>
      </c>
      <c r="M383" s="17">
        <f>IF($F383&lt;&gt;"OK","",IF(UPPER(TRIM($D383))="NO",INDEX(Cat_TMax,MATCH($C383,Cat_Nombre,0)),INDEX(Cat_TMin,MATCH($C383,Cat_Nombre,0))))</f>
        <v/>
      </c>
      <c r="N383" s="17">
        <f>IF($F383&lt;&gt;"OK","",INDEX(Cat_TMax,MATCH($C383,Cat_Nombre,0)))</f>
        <v/>
      </c>
      <c r="O383" s="18">
        <f>IF($F383&lt;&gt;"OK","",INDEX(Cat_POpus,MATCH($C383,Cat_Nombre,0)))</f>
        <v/>
      </c>
      <c r="P383" s="19">
        <f>IF($F383&lt;&gt;"OK","",M383/1000000*((1-O383)*UsdM_Sonnet+O383*UsdM_Opus))</f>
        <v/>
      </c>
      <c r="Q383" s="19">
        <f>IF($F383&lt;&gt;"OK","",N383/1000000*((1-O383)*UsdM_Sonnet+O383*UsdM_Opus))</f>
        <v/>
      </c>
      <c r="R383" s="19">
        <f>IF($F383&lt;&gt;"OK","",G383*TarifaHora)</f>
        <v/>
      </c>
      <c r="S383" s="19">
        <f>IF($F383&lt;&gt;"OK","",H383*TarifaHora)</f>
        <v/>
      </c>
      <c r="T383" s="10">
        <f>IF($F383&lt;&gt;"OK","",IF(COUNTIFS($A$2:$A383,$A383,$F$2:$F383,"OK")=1,MAX($T$1:$T382)+1,""))</f>
        <v/>
      </c>
    </row>
    <row r="384">
      <c r="A384" s="11" t="n"/>
      <c r="B384" s="11" t="n"/>
      <c r="C384" s="11" t="n"/>
      <c r="D384" s="11" t="n"/>
      <c r="E384" s="11" t="n"/>
      <c r="F384" s="10">
        <f>IF(AND($A384="",$B384="",$C384=""),"",IF($A384="","⚠ Falta hito",IF(ISNA(MATCH($C384,Cat_Nombre,0)),"⚠ Categoría inválida","OK")))</f>
        <v/>
      </c>
      <c r="G384" s="16">
        <f>IF($F384&lt;&gt;"OK","",IF(UPPER(TRIM($D384))="NO",INDEX(Cat_HMax,MATCH($C384,Cat_Nombre,0)),INDEX(Cat_HMin,MATCH($C384,Cat_Nombre,0))))</f>
        <v/>
      </c>
      <c r="H384" s="16">
        <f>IF($F384&lt;&gt;"OK","",INDEX(Cat_HMax,MATCH($C384,Cat_Nombre,0)))</f>
        <v/>
      </c>
      <c r="I384" s="16">
        <f>IF($F384&lt;&gt;"OK","",(G384+H384)/2)</f>
        <v/>
      </c>
      <c r="J384" s="16">
        <f>IF($F384&lt;&gt;"OK","",G384/HorasDia)</f>
        <v/>
      </c>
      <c r="K384" s="16">
        <f>IF($F384&lt;&gt;"OK","",I384/HorasDia)</f>
        <v/>
      </c>
      <c r="L384" s="16">
        <f>IF($F384&lt;&gt;"OK","",H384/HorasDia)</f>
        <v/>
      </c>
      <c r="M384" s="17">
        <f>IF($F384&lt;&gt;"OK","",IF(UPPER(TRIM($D384))="NO",INDEX(Cat_TMax,MATCH($C384,Cat_Nombre,0)),INDEX(Cat_TMin,MATCH($C384,Cat_Nombre,0))))</f>
        <v/>
      </c>
      <c r="N384" s="17">
        <f>IF($F384&lt;&gt;"OK","",INDEX(Cat_TMax,MATCH($C384,Cat_Nombre,0)))</f>
        <v/>
      </c>
      <c r="O384" s="18">
        <f>IF($F384&lt;&gt;"OK","",INDEX(Cat_POpus,MATCH($C384,Cat_Nombre,0)))</f>
        <v/>
      </c>
      <c r="P384" s="19">
        <f>IF($F384&lt;&gt;"OK","",M384/1000000*((1-O384)*UsdM_Sonnet+O384*UsdM_Opus))</f>
        <v/>
      </c>
      <c r="Q384" s="19">
        <f>IF($F384&lt;&gt;"OK","",N384/1000000*((1-O384)*UsdM_Sonnet+O384*UsdM_Opus))</f>
        <v/>
      </c>
      <c r="R384" s="19">
        <f>IF($F384&lt;&gt;"OK","",G384*TarifaHora)</f>
        <v/>
      </c>
      <c r="S384" s="19">
        <f>IF($F384&lt;&gt;"OK","",H384*TarifaHora)</f>
        <v/>
      </c>
      <c r="T384" s="10">
        <f>IF($F384&lt;&gt;"OK","",IF(COUNTIFS($A$2:$A384,$A384,$F$2:$F384,"OK")=1,MAX($T$1:$T383)+1,""))</f>
        <v/>
      </c>
    </row>
    <row r="385">
      <c r="A385" s="11" t="n"/>
      <c r="B385" s="11" t="n"/>
      <c r="C385" s="11" t="n"/>
      <c r="D385" s="11" t="n"/>
      <c r="E385" s="11" t="n"/>
      <c r="F385" s="10">
        <f>IF(AND($A385="",$B385="",$C385=""),"",IF($A385="","⚠ Falta hito",IF(ISNA(MATCH($C385,Cat_Nombre,0)),"⚠ Categoría inválida","OK")))</f>
        <v/>
      </c>
      <c r="G385" s="16">
        <f>IF($F385&lt;&gt;"OK","",IF(UPPER(TRIM($D385))="NO",INDEX(Cat_HMax,MATCH($C385,Cat_Nombre,0)),INDEX(Cat_HMin,MATCH($C385,Cat_Nombre,0))))</f>
        <v/>
      </c>
      <c r="H385" s="16">
        <f>IF($F385&lt;&gt;"OK","",INDEX(Cat_HMax,MATCH($C385,Cat_Nombre,0)))</f>
        <v/>
      </c>
      <c r="I385" s="16">
        <f>IF($F385&lt;&gt;"OK","",(G385+H385)/2)</f>
        <v/>
      </c>
      <c r="J385" s="16">
        <f>IF($F385&lt;&gt;"OK","",G385/HorasDia)</f>
        <v/>
      </c>
      <c r="K385" s="16">
        <f>IF($F385&lt;&gt;"OK","",I385/HorasDia)</f>
        <v/>
      </c>
      <c r="L385" s="16">
        <f>IF($F385&lt;&gt;"OK","",H385/HorasDia)</f>
        <v/>
      </c>
      <c r="M385" s="17">
        <f>IF($F385&lt;&gt;"OK","",IF(UPPER(TRIM($D385))="NO",INDEX(Cat_TMax,MATCH($C385,Cat_Nombre,0)),INDEX(Cat_TMin,MATCH($C385,Cat_Nombre,0))))</f>
        <v/>
      </c>
      <c r="N385" s="17">
        <f>IF($F385&lt;&gt;"OK","",INDEX(Cat_TMax,MATCH($C385,Cat_Nombre,0)))</f>
        <v/>
      </c>
      <c r="O385" s="18">
        <f>IF($F385&lt;&gt;"OK","",INDEX(Cat_POpus,MATCH($C385,Cat_Nombre,0)))</f>
        <v/>
      </c>
      <c r="P385" s="19">
        <f>IF($F385&lt;&gt;"OK","",M385/1000000*((1-O385)*UsdM_Sonnet+O385*UsdM_Opus))</f>
        <v/>
      </c>
      <c r="Q385" s="19">
        <f>IF($F385&lt;&gt;"OK","",N385/1000000*((1-O385)*UsdM_Sonnet+O385*UsdM_Opus))</f>
        <v/>
      </c>
      <c r="R385" s="19">
        <f>IF($F385&lt;&gt;"OK","",G385*TarifaHora)</f>
        <v/>
      </c>
      <c r="S385" s="19">
        <f>IF($F385&lt;&gt;"OK","",H385*TarifaHora)</f>
        <v/>
      </c>
      <c r="T385" s="10">
        <f>IF($F385&lt;&gt;"OK","",IF(COUNTIFS($A$2:$A385,$A385,$F$2:$F385,"OK")=1,MAX($T$1:$T384)+1,""))</f>
        <v/>
      </c>
    </row>
    <row r="386">
      <c r="A386" s="11" t="n"/>
      <c r="B386" s="11" t="n"/>
      <c r="C386" s="11" t="n"/>
      <c r="D386" s="11" t="n"/>
      <c r="E386" s="11" t="n"/>
      <c r="F386" s="10">
        <f>IF(AND($A386="",$B386="",$C386=""),"",IF($A386="","⚠ Falta hito",IF(ISNA(MATCH($C386,Cat_Nombre,0)),"⚠ Categoría inválida","OK")))</f>
        <v/>
      </c>
      <c r="G386" s="16">
        <f>IF($F386&lt;&gt;"OK","",IF(UPPER(TRIM($D386))="NO",INDEX(Cat_HMax,MATCH($C386,Cat_Nombre,0)),INDEX(Cat_HMin,MATCH($C386,Cat_Nombre,0))))</f>
        <v/>
      </c>
      <c r="H386" s="16">
        <f>IF($F386&lt;&gt;"OK","",INDEX(Cat_HMax,MATCH($C386,Cat_Nombre,0)))</f>
        <v/>
      </c>
      <c r="I386" s="16">
        <f>IF($F386&lt;&gt;"OK","",(G386+H386)/2)</f>
        <v/>
      </c>
      <c r="J386" s="16">
        <f>IF($F386&lt;&gt;"OK","",G386/HorasDia)</f>
        <v/>
      </c>
      <c r="K386" s="16">
        <f>IF($F386&lt;&gt;"OK","",I386/HorasDia)</f>
        <v/>
      </c>
      <c r="L386" s="16">
        <f>IF($F386&lt;&gt;"OK","",H386/HorasDia)</f>
        <v/>
      </c>
      <c r="M386" s="17">
        <f>IF($F386&lt;&gt;"OK","",IF(UPPER(TRIM($D386))="NO",INDEX(Cat_TMax,MATCH($C386,Cat_Nombre,0)),INDEX(Cat_TMin,MATCH($C386,Cat_Nombre,0))))</f>
        <v/>
      </c>
      <c r="N386" s="17">
        <f>IF($F386&lt;&gt;"OK","",INDEX(Cat_TMax,MATCH($C386,Cat_Nombre,0)))</f>
        <v/>
      </c>
      <c r="O386" s="18">
        <f>IF($F386&lt;&gt;"OK","",INDEX(Cat_POpus,MATCH($C386,Cat_Nombre,0)))</f>
        <v/>
      </c>
      <c r="P386" s="19">
        <f>IF($F386&lt;&gt;"OK","",M386/1000000*((1-O386)*UsdM_Sonnet+O386*UsdM_Opus))</f>
        <v/>
      </c>
      <c r="Q386" s="19">
        <f>IF($F386&lt;&gt;"OK","",N386/1000000*((1-O386)*UsdM_Sonnet+O386*UsdM_Opus))</f>
        <v/>
      </c>
      <c r="R386" s="19">
        <f>IF($F386&lt;&gt;"OK","",G386*TarifaHora)</f>
        <v/>
      </c>
      <c r="S386" s="19">
        <f>IF($F386&lt;&gt;"OK","",H386*TarifaHora)</f>
        <v/>
      </c>
      <c r="T386" s="10">
        <f>IF($F386&lt;&gt;"OK","",IF(COUNTIFS($A$2:$A386,$A386,$F$2:$F386,"OK")=1,MAX($T$1:$T385)+1,""))</f>
        <v/>
      </c>
    </row>
    <row r="387">
      <c r="A387" s="11" t="n"/>
      <c r="B387" s="11" t="n"/>
      <c r="C387" s="11" t="n"/>
      <c r="D387" s="11" t="n"/>
      <c r="E387" s="11" t="n"/>
      <c r="F387" s="10">
        <f>IF(AND($A387="",$B387="",$C387=""),"",IF($A387="","⚠ Falta hito",IF(ISNA(MATCH($C387,Cat_Nombre,0)),"⚠ Categoría inválida","OK")))</f>
        <v/>
      </c>
      <c r="G387" s="16">
        <f>IF($F387&lt;&gt;"OK","",IF(UPPER(TRIM($D387))="NO",INDEX(Cat_HMax,MATCH($C387,Cat_Nombre,0)),INDEX(Cat_HMin,MATCH($C387,Cat_Nombre,0))))</f>
        <v/>
      </c>
      <c r="H387" s="16">
        <f>IF($F387&lt;&gt;"OK","",INDEX(Cat_HMax,MATCH($C387,Cat_Nombre,0)))</f>
        <v/>
      </c>
      <c r="I387" s="16">
        <f>IF($F387&lt;&gt;"OK","",(G387+H387)/2)</f>
        <v/>
      </c>
      <c r="J387" s="16">
        <f>IF($F387&lt;&gt;"OK","",G387/HorasDia)</f>
        <v/>
      </c>
      <c r="K387" s="16">
        <f>IF($F387&lt;&gt;"OK","",I387/HorasDia)</f>
        <v/>
      </c>
      <c r="L387" s="16">
        <f>IF($F387&lt;&gt;"OK","",H387/HorasDia)</f>
        <v/>
      </c>
      <c r="M387" s="17">
        <f>IF($F387&lt;&gt;"OK","",IF(UPPER(TRIM($D387))="NO",INDEX(Cat_TMax,MATCH($C387,Cat_Nombre,0)),INDEX(Cat_TMin,MATCH($C387,Cat_Nombre,0))))</f>
        <v/>
      </c>
      <c r="N387" s="17">
        <f>IF($F387&lt;&gt;"OK","",INDEX(Cat_TMax,MATCH($C387,Cat_Nombre,0)))</f>
        <v/>
      </c>
      <c r="O387" s="18">
        <f>IF($F387&lt;&gt;"OK","",INDEX(Cat_POpus,MATCH($C387,Cat_Nombre,0)))</f>
        <v/>
      </c>
      <c r="P387" s="19">
        <f>IF($F387&lt;&gt;"OK","",M387/1000000*((1-O387)*UsdM_Sonnet+O387*UsdM_Opus))</f>
        <v/>
      </c>
      <c r="Q387" s="19">
        <f>IF($F387&lt;&gt;"OK","",N387/1000000*((1-O387)*UsdM_Sonnet+O387*UsdM_Opus))</f>
        <v/>
      </c>
      <c r="R387" s="19">
        <f>IF($F387&lt;&gt;"OK","",G387*TarifaHora)</f>
        <v/>
      </c>
      <c r="S387" s="19">
        <f>IF($F387&lt;&gt;"OK","",H387*TarifaHora)</f>
        <v/>
      </c>
      <c r="T387" s="10">
        <f>IF($F387&lt;&gt;"OK","",IF(COUNTIFS($A$2:$A387,$A387,$F$2:$F387,"OK")=1,MAX($T$1:$T386)+1,""))</f>
        <v/>
      </c>
    </row>
    <row r="388">
      <c r="A388" s="11" t="n"/>
      <c r="B388" s="11" t="n"/>
      <c r="C388" s="11" t="n"/>
      <c r="D388" s="11" t="n"/>
      <c r="E388" s="11" t="n"/>
      <c r="F388" s="10">
        <f>IF(AND($A388="",$B388="",$C388=""),"",IF($A388="","⚠ Falta hito",IF(ISNA(MATCH($C388,Cat_Nombre,0)),"⚠ Categoría inválida","OK")))</f>
        <v/>
      </c>
      <c r="G388" s="16">
        <f>IF($F388&lt;&gt;"OK","",IF(UPPER(TRIM($D388))="NO",INDEX(Cat_HMax,MATCH($C388,Cat_Nombre,0)),INDEX(Cat_HMin,MATCH($C388,Cat_Nombre,0))))</f>
        <v/>
      </c>
      <c r="H388" s="16">
        <f>IF($F388&lt;&gt;"OK","",INDEX(Cat_HMax,MATCH($C388,Cat_Nombre,0)))</f>
        <v/>
      </c>
      <c r="I388" s="16">
        <f>IF($F388&lt;&gt;"OK","",(G388+H388)/2)</f>
        <v/>
      </c>
      <c r="J388" s="16">
        <f>IF($F388&lt;&gt;"OK","",G388/HorasDia)</f>
        <v/>
      </c>
      <c r="K388" s="16">
        <f>IF($F388&lt;&gt;"OK","",I388/HorasDia)</f>
        <v/>
      </c>
      <c r="L388" s="16">
        <f>IF($F388&lt;&gt;"OK","",H388/HorasDia)</f>
        <v/>
      </c>
      <c r="M388" s="17">
        <f>IF($F388&lt;&gt;"OK","",IF(UPPER(TRIM($D388))="NO",INDEX(Cat_TMax,MATCH($C388,Cat_Nombre,0)),INDEX(Cat_TMin,MATCH($C388,Cat_Nombre,0))))</f>
        <v/>
      </c>
      <c r="N388" s="17">
        <f>IF($F388&lt;&gt;"OK","",INDEX(Cat_TMax,MATCH($C388,Cat_Nombre,0)))</f>
        <v/>
      </c>
      <c r="O388" s="18">
        <f>IF($F388&lt;&gt;"OK","",INDEX(Cat_POpus,MATCH($C388,Cat_Nombre,0)))</f>
        <v/>
      </c>
      <c r="P388" s="19">
        <f>IF($F388&lt;&gt;"OK","",M388/1000000*((1-O388)*UsdM_Sonnet+O388*UsdM_Opus))</f>
        <v/>
      </c>
      <c r="Q388" s="19">
        <f>IF($F388&lt;&gt;"OK","",N388/1000000*((1-O388)*UsdM_Sonnet+O388*UsdM_Opus))</f>
        <v/>
      </c>
      <c r="R388" s="19">
        <f>IF($F388&lt;&gt;"OK","",G388*TarifaHora)</f>
        <v/>
      </c>
      <c r="S388" s="19">
        <f>IF($F388&lt;&gt;"OK","",H388*TarifaHora)</f>
        <v/>
      </c>
      <c r="T388" s="10">
        <f>IF($F388&lt;&gt;"OK","",IF(COUNTIFS($A$2:$A388,$A388,$F$2:$F388,"OK")=1,MAX($T$1:$T387)+1,""))</f>
        <v/>
      </c>
    </row>
    <row r="389">
      <c r="A389" s="11" t="n"/>
      <c r="B389" s="11" t="n"/>
      <c r="C389" s="11" t="n"/>
      <c r="D389" s="11" t="n"/>
      <c r="E389" s="11" t="n"/>
      <c r="F389" s="10">
        <f>IF(AND($A389="",$B389="",$C389=""),"",IF($A389="","⚠ Falta hito",IF(ISNA(MATCH($C389,Cat_Nombre,0)),"⚠ Categoría inválida","OK")))</f>
        <v/>
      </c>
      <c r="G389" s="16">
        <f>IF($F389&lt;&gt;"OK","",IF(UPPER(TRIM($D389))="NO",INDEX(Cat_HMax,MATCH($C389,Cat_Nombre,0)),INDEX(Cat_HMin,MATCH($C389,Cat_Nombre,0))))</f>
        <v/>
      </c>
      <c r="H389" s="16">
        <f>IF($F389&lt;&gt;"OK","",INDEX(Cat_HMax,MATCH($C389,Cat_Nombre,0)))</f>
        <v/>
      </c>
      <c r="I389" s="16">
        <f>IF($F389&lt;&gt;"OK","",(G389+H389)/2)</f>
        <v/>
      </c>
      <c r="J389" s="16">
        <f>IF($F389&lt;&gt;"OK","",G389/HorasDia)</f>
        <v/>
      </c>
      <c r="K389" s="16">
        <f>IF($F389&lt;&gt;"OK","",I389/HorasDia)</f>
        <v/>
      </c>
      <c r="L389" s="16">
        <f>IF($F389&lt;&gt;"OK","",H389/HorasDia)</f>
        <v/>
      </c>
      <c r="M389" s="17">
        <f>IF($F389&lt;&gt;"OK","",IF(UPPER(TRIM($D389))="NO",INDEX(Cat_TMax,MATCH($C389,Cat_Nombre,0)),INDEX(Cat_TMin,MATCH($C389,Cat_Nombre,0))))</f>
        <v/>
      </c>
      <c r="N389" s="17">
        <f>IF($F389&lt;&gt;"OK","",INDEX(Cat_TMax,MATCH($C389,Cat_Nombre,0)))</f>
        <v/>
      </c>
      <c r="O389" s="18">
        <f>IF($F389&lt;&gt;"OK","",INDEX(Cat_POpus,MATCH($C389,Cat_Nombre,0)))</f>
        <v/>
      </c>
      <c r="P389" s="19">
        <f>IF($F389&lt;&gt;"OK","",M389/1000000*((1-O389)*UsdM_Sonnet+O389*UsdM_Opus))</f>
        <v/>
      </c>
      <c r="Q389" s="19">
        <f>IF($F389&lt;&gt;"OK","",N389/1000000*((1-O389)*UsdM_Sonnet+O389*UsdM_Opus))</f>
        <v/>
      </c>
      <c r="R389" s="19">
        <f>IF($F389&lt;&gt;"OK","",G389*TarifaHora)</f>
        <v/>
      </c>
      <c r="S389" s="19">
        <f>IF($F389&lt;&gt;"OK","",H389*TarifaHora)</f>
        <v/>
      </c>
      <c r="T389" s="10">
        <f>IF($F389&lt;&gt;"OK","",IF(COUNTIFS($A$2:$A389,$A389,$F$2:$F389,"OK")=1,MAX($T$1:$T388)+1,""))</f>
        <v/>
      </c>
    </row>
    <row r="390">
      <c r="A390" s="11" t="n"/>
      <c r="B390" s="11" t="n"/>
      <c r="C390" s="11" t="n"/>
      <c r="D390" s="11" t="n"/>
      <c r="E390" s="11" t="n"/>
      <c r="F390" s="10">
        <f>IF(AND($A390="",$B390="",$C390=""),"",IF($A390="","⚠ Falta hito",IF(ISNA(MATCH($C390,Cat_Nombre,0)),"⚠ Categoría inválida","OK")))</f>
        <v/>
      </c>
      <c r="G390" s="16">
        <f>IF($F390&lt;&gt;"OK","",IF(UPPER(TRIM($D390))="NO",INDEX(Cat_HMax,MATCH($C390,Cat_Nombre,0)),INDEX(Cat_HMin,MATCH($C390,Cat_Nombre,0))))</f>
        <v/>
      </c>
      <c r="H390" s="16">
        <f>IF($F390&lt;&gt;"OK","",INDEX(Cat_HMax,MATCH($C390,Cat_Nombre,0)))</f>
        <v/>
      </c>
      <c r="I390" s="16">
        <f>IF($F390&lt;&gt;"OK","",(G390+H390)/2)</f>
        <v/>
      </c>
      <c r="J390" s="16">
        <f>IF($F390&lt;&gt;"OK","",G390/HorasDia)</f>
        <v/>
      </c>
      <c r="K390" s="16">
        <f>IF($F390&lt;&gt;"OK","",I390/HorasDia)</f>
        <v/>
      </c>
      <c r="L390" s="16">
        <f>IF($F390&lt;&gt;"OK","",H390/HorasDia)</f>
        <v/>
      </c>
      <c r="M390" s="17">
        <f>IF($F390&lt;&gt;"OK","",IF(UPPER(TRIM($D390))="NO",INDEX(Cat_TMax,MATCH($C390,Cat_Nombre,0)),INDEX(Cat_TMin,MATCH($C390,Cat_Nombre,0))))</f>
        <v/>
      </c>
      <c r="N390" s="17">
        <f>IF($F390&lt;&gt;"OK","",INDEX(Cat_TMax,MATCH($C390,Cat_Nombre,0)))</f>
        <v/>
      </c>
      <c r="O390" s="18">
        <f>IF($F390&lt;&gt;"OK","",INDEX(Cat_POpus,MATCH($C390,Cat_Nombre,0)))</f>
        <v/>
      </c>
      <c r="P390" s="19">
        <f>IF($F390&lt;&gt;"OK","",M390/1000000*((1-O390)*UsdM_Sonnet+O390*UsdM_Opus))</f>
        <v/>
      </c>
      <c r="Q390" s="19">
        <f>IF($F390&lt;&gt;"OK","",N390/1000000*((1-O390)*UsdM_Sonnet+O390*UsdM_Opus))</f>
        <v/>
      </c>
      <c r="R390" s="19">
        <f>IF($F390&lt;&gt;"OK","",G390*TarifaHora)</f>
        <v/>
      </c>
      <c r="S390" s="19">
        <f>IF($F390&lt;&gt;"OK","",H390*TarifaHora)</f>
        <v/>
      </c>
      <c r="T390" s="10">
        <f>IF($F390&lt;&gt;"OK","",IF(COUNTIFS($A$2:$A390,$A390,$F$2:$F390,"OK")=1,MAX($T$1:$T389)+1,""))</f>
        <v/>
      </c>
    </row>
    <row r="391">
      <c r="A391" s="11" t="n"/>
      <c r="B391" s="11" t="n"/>
      <c r="C391" s="11" t="n"/>
      <c r="D391" s="11" t="n"/>
      <c r="E391" s="11" t="n"/>
      <c r="F391" s="10">
        <f>IF(AND($A391="",$B391="",$C391=""),"",IF($A391="","⚠ Falta hito",IF(ISNA(MATCH($C391,Cat_Nombre,0)),"⚠ Categoría inválida","OK")))</f>
        <v/>
      </c>
      <c r="G391" s="16">
        <f>IF($F391&lt;&gt;"OK","",IF(UPPER(TRIM($D391))="NO",INDEX(Cat_HMax,MATCH($C391,Cat_Nombre,0)),INDEX(Cat_HMin,MATCH($C391,Cat_Nombre,0))))</f>
        <v/>
      </c>
      <c r="H391" s="16">
        <f>IF($F391&lt;&gt;"OK","",INDEX(Cat_HMax,MATCH($C391,Cat_Nombre,0)))</f>
        <v/>
      </c>
      <c r="I391" s="16">
        <f>IF($F391&lt;&gt;"OK","",(G391+H391)/2)</f>
        <v/>
      </c>
      <c r="J391" s="16">
        <f>IF($F391&lt;&gt;"OK","",G391/HorasDia)</f>
        <v/>
      </c>
      <c r="K391" s="16">
        <f>IF($F391&lt;&gt;"OK","",I391/HorasDia)</f>
        <v/>
      </c>
      <c r="L391" s="16">
        <f>IF($F391&lt;&gt;"OK","",H391/HorasDia)</f>
        <v/>
      </c>
      <c r="M391" s="17">
        <f>IF($F391&lt;&gt;"OK","",IF(UPPER(TRIM($D391))="NO",INDEX(Cat_TMax,MATCH($C391,Cat_Nombre,0)),INDEX(Cat_TMin,MATCH($C391,Cat_Nombre,0))))</f>
        <v/>
      </c>
      <c r="N391" s="17">
        <f>IF($F391&lt;&gt;"OK","",INDEX(Cat_TMax,MATCH($C391,Cat_Nombre,0)))</f>
        <v/>
      </c>
      <c r="O391" s="18">
        <f>IF($F391&lt;&gt;"OK","",INDEX(Cat_POpus,MATCH($C391,Cat_Nombre,0)))</f>
        <v/>
      </c>
      <c r="P391" s="19">
        <f>IF($F391&lt;&gt;"OK","",M391/1000000*((1-O391)*UsdM_Sonnet+O391*UsdM_Opus))</f>
        <v/>
      </c>
      <c r="Q391" s="19">
        <f>IF($F391&lt;&gt;"OK","",N391/1000000*((1-O391)*UsdM_Sonnet+O391*UsdM_Opus))</f>
        <v/>
      </c>
      <c r="R391" s="19">
        <f>IF($F391&lt;&gt;"OK","",G391*TarifaHora)</f>
        <v/>
      </c>
      <c r="S391" s="19">
        <f>IF($F391&lt;&gt;"OK","",H391*TarifaHora)</f>
        <v/>
      </c>
      <c r="T391" s="10">
        <f>IF($F391&lt;&gt;"OK","",IF(COUNTIFS($A$2:$A391,$A391,$F$2:$F391,"OK")=1,MAX($T$1:$T390)+1,""))</f>
        <v/>
      </c>
    </row>
    <row r="392">
      <c r="A392" s="11" t="n"/>
      <c r="B392" s="11" t="n"/>
      <c r="C392" s="11" t="n"/>
      <c r="D392" s="11" t="n"/>
      <c r="E392" s="11" t="n"/>
      <c r="F392" s="10">
        <f>IF(AND($A392="",$B392="",$C392=""),"",IF($A392="","⚠ Falta hito",IF(ISNA(MATCH($C392,Cat_Nombre,0)),"⚠ Categoría inválida","OK")))</f>
        <v/>
      </c>
      <c r="G392" s="16">
        <f>IF($F392&lt;&gt;"OK","",IF(UPPER(TRIM($D392))="NO",INDEX(Cat_HMax,MATCH($C392,Cat_Nombre,0)),INDEX(Cat_HMin,MATCH($C392,Cat_Nombre,0))))</f>
        <v/>
      </c>
      <c r="H392" s="16">
        <f>IF($F392&lt;&gt;"OK","",INDEX(Cat_HMax,MATCH($C392,Cat_Nombre,0)))</f>
        <v/>
      </c>
      <c r="I392" s="16">
        <f>IF($F392&lt;&gt;"OK","",(G392+H392)/2)</f>
        <v/>
      </c>
      <c r="J392" s="16">
        <f>IF($F392&lt;&gt;"OK","",G392/HorasDia)</f>
        <v/>
      </c>
      <c r="K392" s="16">
        <f>IF($F392&lt;&gt;"OK","",I392/HorasDia)</f>
        <v/>
      </c>
      <c r="L392" s="16">
        <f>IF($F392&lt;&gt;"OK","",H392/HorasDia)</f>
        <v/>
      </c>
      <c r="M392" s="17">
        <f>IF($F392&lt;&gt;"OK","",IF(UPPER(TRIM($D392))="NO",INDEX(Cat_TMax,MATCH($C392,Cat_Nombre,0)),INDEX(Cat_TMin,MATCH($C392,Cat_Nombre,0))))</f>
        <v/>
      </c>
      <c r="N392" s="17">
        <f>IF($F392&lt;&gt;"OK","",INDEX(Cat_TMax,MATCH($C392,Cat_Nombre,0)))</f>
        <v/>
      </c>
      <c r="O392" s="18">
        <f>IF($F392&lt;&gt;"OK","",INDEX(Cat_POpus,MATCH($C392,Cat_Nombre,0)))</f>
        <v/>
      </c>
      <c r="P392" s="19">
        <f>IF($F392&lt;&gt;"OK","",M392/1000000*((1-O392)*UsdM_Sonnet+O392*UsdM_Opus))</f>
        <v/>
      </c>
      <c r="Q392" s="19">
        <f>IF($F392&lt;&gt;"OK","",N392/1000000*((1-O392)*UsdM_Sonnet+O392*UsdM_Opus))</f>
        <v/>
      </c>
      <c r="R392" s="19">
        <f>IF($F392&lt;&gt;"OK","",G392*TarifaHora)</f>
        <v/>
      </c>
      <c r="S392" s="19">
        <f>IF($F392&lt;&gt;"OK","",H392*TarifaHora)</f>
        <v/>
      </c>
      <c r="T392" s="10">
        <f>IF($F392&lt;&gt;"OK","",IF(COUNTIFS($A$2:$A392,$A392,$F$2:$F392,"OK")=1,MAX($T$1:$T391)+1,""))</f>
        <v/>
      </c>
    </row>
    <row r="393">
      <c r="A393" s="11" t="n"/>
      <c r="B393" s="11" t="n"/>
      <c r="C393" s="11" t="n"/>
      <c r="D393" s="11" t="n"/>
      <c r="E393" s="11" t="n"/>
      <c r="F393" s="10">
        <f>IF(AND($A393="",$B393="",$C393=""),"",IF($A393="","⚠ Falta hito",IF(ISNA(MATCH($C393,Cat_Nombre,0)),"⚠ Categoría inválida","OK")))</f>
        <v/>
      </c>
      <c r="G393" s="16">
        <f>IF($F393&lt;&gt;"OK","",IF(UPPER(TRIM($D393))="NO",INDEX(Cat_HMax,MATCH($C393,Cat_Nombre,0)),INDEX(Cat_HMin,MATCH($C393,Cat_Nombre,0))))</f>
        <v/>
      </c>
      <c r="H393" s="16">
        <f>IF($F393&lt;&gt;"OK","",INDEX(Cat_HMax,MATCH($C393,Cat_Nombre,0)))</f>
        <v/>
      </c>
      <c r="I393" s="16">
        <f>IF($F393&lt;&gt;"OK","",(G393+H393)/2)</f>
        <v/>
      </c>
      <c r="J393" s="16">
        <f>IF($F393&lt;&gt;"OK","",G393/HorasDia)</f>
        <v/>
      </c>
      <c r="K393" s="16">
        <f>IF($F393&lt;&gt;"OK","",I393/HorasDia)</f>
        <v/>
      </c>
      <c r="L393" s="16">
        <f>IF($F393&lt;&gt;"OK","",H393/HorasDia)</f>
        <v/>
      </c>
      <c r="M393" s="17">
        <f>IF($F393&lt;&gt;"OK","",IF(UPPER(TRIM($D393))="NO",INDEX(Cat_TMax,MATCH($C393,Cat_Nombre,0)),INDEX(Cat_TMin,MATCH($C393,Cat_Nombre,0))))</f>
        <v/>
      </c>
      <c r="N393" s="17">
        <f>IF($F393&lt;&gt;"OK","",INDEX(Cat_TMax,MATCH($C393,Cat_Nombre,0)))</f>
        <v/>
      </c>
      <c r="O393" s="18">
        <f>IF($F393&lt;&gt;"OK","",INDEX(Cat_POpus,MATCH($C393,Cat_Nombre,0)))</f>
        <v/>
      </c>
      <c r="P393" s="19">
        <f>IF($F393&lt;&gt;"OK","",M393/1000000*((1-O393)*UsdM_Sonnet+O393*UsdM_Opus))</f>
        <v/>
      </c>
      <c r="Q393" s="19">
        <f>IF($F393&lt;&gt;"OK","",N393/1000000*((1-O393)*UsdM_Sonnet+O393*UsdM_Opus))</f>
        <v/>
      </c>
      <c r="R393" s="19">
        <f>IF($F393&lt;&gt;"OK","",G393*TarifaHora)</f>
        <v/>
      </c>
      <c r="S393" s="19">
        <f>IF($F393&lt;&gt;"OK","",H393*TarifaHora)</f>
        <v/>
      </c>
      <c r="T393" s="10">
        <f>IF($F393&lt;&gt;"OK","",IF(COUNTIFS($A$2:$A393,$A393,$F$2:$F393,"OK")=1,MAX($T$1:$T392)+1,""))</f>
        <v/>
      </c>
    </row>
    <row r="394">
      <c r="A394" s="11" t="n"/>
      <c r="B394" s="11" t="n"/>
      <c r="C394" s="11" t="n"/>
      <c r="D394" s="11" t="n"/>
      <c r="E394" s="11" t="n"/>
      <c r="F394" s="10">
        <f>IF(AND($A394="",$B394="",$C394=""),"",IF($A394="","⚠ Falta hito",IF(ISNA(MATCH($C394,Cat_Nombre,0)),"⚠ Categoría inválida","OK")))</f>
        <v/>
      </c>
      <c r="G394" s="16">
        <f>IF($F394&lt;&gt;"OK","",IF(UPPER(TRIM($D394))="NO",INDEX(Cat_HMax,MATCH($C394,Cat_Nombre,0)),INDEX(Cat_HMin,MATCH($C394,Cat_Nombre,0))))</f>
        <v/>
      </c>
      <c r="H394" s="16">
        <f>IF($F394&lt;&gt;"OK","",INDEX(Cat_HMax,MATCH($C394,Cat_Nombre,0)))</f>
        <v/>
      </c>
      <c r="I394" s="16">
        <f>IF($F394&lt;&gt;"OK","",(G394+H394)/2)</f>
        <v/>
      </c>
      <c r="J394" s="16">
        <f>IF($F394&lt;&gt;"OK","",G394/HorasDia)</f>
        <v/>
      </c>
      <c r="K394" s="16">
        <f>IF($F394&lt;&gt;"OK","",I394/HorasDia)</f>
        <v/>
      </c>
      <c r="L394" s="16">
        <f>IF($F394&lt;&gt;"OK","",H394/HorasDia)</f>
        <v/>
      </c>
      <c r="M394" s="17">
        <f>IF($F394&lt;&gt;"OK","",IF(UPPER(TRIM($D394))="NO",INDEX(Cat_TMax,MATCH($C394,Cat_Nombre,0)),INDEX(Cat_TMin,MATCH($C394,Cat_Nombre,0))))</f>
        <v/>
      </c>
      <c r="N394" s="17">
        <f>IF($F394&lt;&gt;"OK","",INDEX(Cat_TMax,MATCH($C394,Cat_Nombre,0)))</f>
        <v/>
      </c>
      <c r="O394" s="18">
        <f>IF($F394&lt;&gt;"OK","",INDEX(Cat_POpus,MATCH($C394,Cat_Nombre,0)))</f>
        <v/>
      </c>
      <c r="P394" s="19">
        <f>IF($F394&lt;&gt;"OK","",M394/1000000*((1-O394)*UsdM_Sonnet+O394*UsdM_Opus))</f>
        <v/>
      </c>
      <c r="Q394" s="19">
        <f>IF($F394&lt;&gt;"OK","",N394/1000000*((1-O394)*UsdM_Sonnet+O394*UsdM_Opus))</f>
        <v/>
      </c>
      <c r="R394" s="19">
        <f>IF($F394&lt;&gt;"OK","",G394*TarifaHora)</f>
        <v/>
      </c>
      <c r="S394" s="19">
        <f>IF($F394&lt;&gt;"OK","",H394*TarifaHora)</f>
        <v/>
      </c>
      <c r="T394" s="10">
        <f>IF($F394&lt;&gt;"OK","",IF(COUNTIFS($A$2:$A394,$A394,$F$2:$F394,"OK")=1,MAX($T$1:$T393)+1,""))</f>
        <v/>
      </c>
    </row>
    <row r="395">
      <c r="A395" s="11" t="n"/>
      <c r="B395" s="11" t="n"/>
      <c r="C395" s="11" t="n"/>
      <c r="D395" s="11" t="n"/>
      <c r="E395" s="11" t="n"/>
      <c r="F395" s="10">
        <f>IF(AND($A395="",$B395="",$C395=""),"",IF($A395="","⚠ Falta hito",IF(ISNA(MATCH($C395,Cat_Nombre,0)),"⚠ Categoría inválida","OK")))</f>
        <v/>
      </c>
      <c r="G395" s="16">
        <f>IF($F395&lt;&gt;"OK","",IF(UPPER(TRIM($D395))="NO",INDEX(Cat_HMax,MATCH($C395,Cat_Nombre,0)),INDEX(Cat_HMin,MATCH($C395,Cat_Nombre,0))))</f>
        <v/>
      </c>
      <c r="H395" s="16">
        <f>IF($F395&lt;&gt;"OK","",INDEX(Cat_HMax,MATCH($C395,Cat_Nombre,0)))</f>
        <v/>
      </c>
      <c r="I395" s="16">
        <f>IF($F395&lt;&gt;"OK","",(G395+H395)/2)</f>
        <v/>
      </c>
      <c r="J395" s="16">
        <f>IF($F395&lt;&gt;"OK","",G395/HorasDia)</f>
        <v/>
      </c>
      <c r="K395" s="16">
        <f>IF($F395&lt;&gt;"OK","",I395/HorasDia)</f>
        <v/>
      </c>
      <c r="L395" s="16">
        <f>IF($F395&lt;&gt;"OK","",H395/HorasDia)</f>
        <v/>
      </c>
      <c r="M395" s="17">
        <f>IF($F395&lt;&gt;"OK","",IF(UPPER(TRIM($D395))="NO",INDEX(Cat_TMax,MATCH($C395,Cat_Nombre,0)),INDEX(Cat_TMin,MATCH($C395,Cat_Nombre,0))))</f>
        <v/>
      </c>
      <c r="N395" s="17">
        <f>IF($F395&lt;&gt;"OK","",INDEX(Cat_TMax,MATCH($C395,Cat_Nombre,0)))</f>
        <v/>
      </c>
      <c r="O395" s="18">
        <f>IF($F395&lt;&gt;"OK","",INDEX(Cat_POpus,MATCH($C395,Cat_Nombre,0)))</f>
        <v/>
      </c>
      <c r="P395" s="19">
        <f>IF($F395&lt;&gt;"OK","",M395/1000000*((1-O395)*UsdM_Sonnet+O395*UsdM_Opus))</f>
        <v/>
      </c>
      <c r="Q395" s="19">
        <f>IF($F395&lt;&gt;"OK","",N395/1000000*((1-O395)*UsdM_Sonnet+O395*UsdM_Opus))</f>
        <v/>
      </c>
      <c r="R395" s="19">
        <f>IF($F395&lt;&gt;"OK","",G395*TarifaHora)</f>
        <v/>
      </c>
      <c r="S395" s="19">
        <f>IF($F395&lt;&gt;"OK","",H395*TarifaHora)</f>
        <v/>
      </c>
      <c r="T395" s="10">
        <f>IF($F395&lt;&gt;"OK","",IF(COUNTIFS($A$2:$A395,$A395,$F$2:$F395,"OK")=1,MAX($T$1:$T394)+1,""))</f>
        <v/>
      </c>
    </row>
    <row r="396">
      <c r="A396" s="11" t="n"/>
      <c r="B396" s="11" t="n"/>
      <c r="C396" s="11" t="n"/>
      <c r="D396" s="11" t="n"/>
      <c r="E396" s="11" t="n"/>
      <c r="F396" s="10">
        <f>IF(AND($A396="",$B396="",$C396=""),"",IF($A396="","⚠ Falta hito",IF(ISNA(MATCH($C396,Cat_Nombre,0)),"⚠ Categoría inválida","OK")))</f>
        <v/>
      </c>
      <c r="G396" s="16">
        <f>IF($F396&lt;&gt;"OK","",IF(UPPER(TRIM($D396))="NO",INDEX(Cat_HMax,MATCH($C396,Cat_Nombre,0)),INDEX(Cat_HMin,MATCH($C396,Cat_Nombre,0))))</f>
        <v/>
      </c>
      <c r="H396" s="16">
        <f>IF($F396&lt;&gt;"OK","",INDEX(Cat_HMax,MATCH($C396,Cat_Nombre,0)))</f>
        <v/>
      </c>
      <c r="I396" s="16">
        <f>IF($F396&lt;&gt;"OK","",(G396+H396)/2)</f>
        <v/>
      </c>
      <c r="J396" s="16">
        <f>IF($F396&lt;&gt;"OK","",G396/HorasDia)</f>
        <v/>
      </c>
      <c r="K396" s="16">
        <f>IF($F396&lt;&gt;"OK","",I396/HorasDia)</f>
        <v/>
      </c>
      <c r="L396" s="16">
        <f>IF($F396&lt;&gt;"OK","",H396/HorasDia)</f>
        <v/>
      </c>
      <c r="M396" s="17">
        <f>IF($F396&lt;&gt;"OK","",IF(UPPER(TRIM($D396))="NO",INDEX(Cat_TMax,MATCH($C396,Cat_Nombre,0)),INDEX(Cat_TMin,MATCH($C396,Cat_Nombre,0))))</f>
        <v/>
      </c>
      <c r="N396" s="17">
        <f>IF($F396&lt;&gt;"OK","",INDEX(Cat_TMax,MATCH($C396,Cat_Nombre,0)))</f>
        <v/>
      </c>
      <c r="O396" s="18">
        <f>IF($F396&lt;&gt;"OK","",INDEX(Cat_POpus,MATCH($C396,Cat_Nombre,0)))</f>
        <v/>
      </c>
      <c r="P396" s="19">
        <f>IF($F396&lt;&gt;"OK","",M396/1000000*((1-O396)*UsdM_Sonnet+O396*UsdM_Opus))</f>
        <v/>
      </c>
      <c r="Q396" s="19">
        <f>IF($F396&lt;&gt;"OK","",N396/1000000*((1-O396)*UsdM_Sonnet+O396*UsdM_Opus))</f>
        <v/>
      </c>
      <c r="R396" s="19">
        <f>IF($F396&lt;&gt;"OK","",G396*TarifaHora)</f>
        <v/>
      </c>
      <c r="S396" s="19">
        <f>IF($F396&lt;&gt;"OK","",H396*TarifaHora)</f>
        <v/>
      </c>
      <c r="T396" s="10">
        <f>IF($F396&lt;&gt;"OK","",IF(COUNTIFS($A$2:$A396,$A396,$F$2:$F396,"OK")=1,MAX($T$1:$T395)+1,""))</f>
        <v/>
      </c>
    </row>
    <row r="397">
      <c r="A397" s="11" t="n"/>
      <c r="B397" s="11" t="n"/>
      <c r="C397" s="11" t="n"/>
      <c r="D397" s="11" t="n"/>
      <c r="E397" s="11" t="n"/>
      <c r="F397" s="10">
        <f>IF(AND($A397="",$B397="",$C397=""),"",IF($A397="","⚠ Falta hito",IF(ISNA(MATCH($C397,Cat_Nombre,0)),"⚠ Categoría inválida","OK")))</f>
        <v/>
      </c>
      <c r="G397" s="16">
        <f>IF($F397&lt;&gt;"OK","",IF(UPPER(TRIM($D397))="NO",INDEX(Cat_HMax,MATCH($C397,Cat_Nombre,0)),INDEX(Cat_HMin,MATCH($C397,Cat_Nombre,0))))</f>
        <v/>
      </c>
      <c r="H397" s="16">
        <f>IF($F397&lt;&gt;"OK","",INDEX(Cat_HMax,MATCH($C397,Cat_Nombre,0)))</f>
        <v/>
      </c>
      <c r="I397" s="16">
        <f>IF($F397&lt;&gt;"OK","",(G397+H397)/2)</f>
        <v/>
      </c>
      <c r="J397" s="16">
        <f>IF($F397&lt;&gt;"OK","",G397/HorasDia)</f>
        <v/>
      </c>
      <c r="K397" s="16">
        <f>IF($F397&lt;&gt;"OK","",I397/HorasDia)</f>
        <v/>
      </c>
      <c r="L397" s="16">
        <f>IF($F397&lt;&gt;"OK","",H397/HorasDia)</f>
        <v/>
      </c>
      <c r="M397" s="17">
        <f>IF($F397&lt;&gt;"OK","",IF(UPPER(TRIM($D397))="NO",INDEX(Cat_TMax,MATCH($C397,Cat_Nombre,0)),INDEX(Cat_TMin,MATCH($C397,Cat_Nombre,0))))</f>
        <v/>
      </c>
      <c r="N397" s="17">
        <f>IF($F397&lt;&gt;"OK","",INDEX(Cat_TMax,MATCH($C397,Cat_Nombre,0)))</f>
        <v/>
      </c>
      <c r="O397" s="18">
        <f>IF($F397&lt;&gt;"OK","",INDEX(Cat_POpus,MATCH($C397,Cat_Nombre,0)))</f>
        <v/>
      </c>
      <c r="P397" s="19">
        <f>IF($F397&lt;&gt;"OK","",M397/1000000*((1-O397)*UsdM_Sonnet+O397*UsdM_Opus))</f>
        <v/>
      </c>
      <c r="Q397" s="19">
        <f>IF($F397&lt;&gt;"OK","",N397/1000000*((1-O397)*UsdM_Sonnet+O397*UsdM_Opus))</f>
        <v/>
      </c>
      <c r="R397" s="19">
        <f>IF($F397&lt;&gt;"OK","",G397*TarifaHora)</f>
        <v/>
      </c>
      <c r="S397" s="19">
        <f>IF($F397&lt;&gt;"OK","",H397*TarifaHora)</f>
        <v/>
      </c>
      <c r="T397" s="10">
        <f>IF($F397&lt;&gt;"OK","",IF(COUNTIFS($A$2:$A397,$A397,$F$2:$F397,"OK")=1,MAX($T$1:$T396)+1,""))</f>
        <v/>
      </c>
    </row>
    <row r="398">
      <c r="A398" s="11" t="n"/>
      <c r="B398" s="11" t="n"/>
      <c r="C398" s="11" t="n"/>
      <c r="D398" s="11" t="n"/>
      <c r="E398" s="11" t="n"/>
      <c r="F398" s="10">
        <f>IF(AND($A398="",$B398="",$C398=""),"",IF($A398="","⚠ Falta hito",IF(ISNA(MATCH($C398,Cat_Nombre,0)),"⚠ Categoría inválida","OK")))</f>
        <v/>
      </c>
      <c r="G398" s="16">
        <f>IF($F398&lt;&gt;"OK","",IF(UPPER(TRIM($D398))="NO",INDEX(Cat_HMax,MATCH($C398,Cat_Nombre,0)),INDEX(Cat_HMin,MATCH($C398,Cat_Nombre,0))))</f>
        <v/>
      </c>
      <c r="H398" s="16">
        <f>IF($F398&lt;&gt;"OK","",INDEX(Cat_HMax,MATCH($C398,Cat_Nombre,0)))</f>
        <v/>
      </c>
      <c r="I398" s="16">
        <f>IF($F398&lt;&gt;"OK","",(G398+H398)/2)</f>
        <v/>
      </c>
      <c r="J398" s="16">
        <f>IF($F398&lt;&gt;"OK","",G398/HorasDia)</f>
        <v/>
      </c>
      <c r="K398" s="16">
        <f>IF($F398&lt;&gt;"OK","",I398/HorasDia)</f>
        <v/>
      </c>
      <c r="L398" s="16">
        <f>IF($F398&lt;&gt;"OK","",H398/HorasDia)</f>
        <v/>
      </c>
      <c r="M398" s="17">
        <f>IF($F398&lt;&gt;"OK","",IF(UPPER(TRIM($D398))="NO",INDEX(Cat_TMax,MATCH($C398,Cat_Nombre,0)),INDEX(Cat_TMin,MATCH($C398,Cat_Nombre,0))))</f>
        <v/>
      </c>
      <c r="N398" s="17">
        <f>IF($F398&lt;&gt;"OK","",INDEX(Cat_TMax,MATCH($C398,Cat_Nombre,0)))</f>
        <v/>
      </c>
      <c r="O398" s="18">
        <f>IF($F398&lt;&gt;"OK","",INDEX(Cat_POpus,MATCH($C398,Cat_Nombre,0)))</f>
        <v/>
      </c>
      <c r="P398" s="19">
        <f>IF($F398&lt;&gt;"OK","",M398/1000000*((1-O398)*UsdM_Sonnet+O398*UsdM_Opus))</f>
        <v/>
      </c>
      <c r="Q398" s="19">
        <f>IF($F398&lt;&gt;"OK","",N398/1000000*((1-O398)*UsdM_Sonnet+O398*UsdM_Opus))</f>
        <v/>
      </c>
      <c r="R398" s="19">
        <f>IF($F398&lt;&gt;"OK","",G398*TarifaHora)</f>
        <v/>
      </c>
      <c r="S398" s="19">
        <f>IF($F398&lt;&gt;"OK","",H398*TarifaHora)</f>
        <v/>
      </c>
      <c r="T398" s="10">
        <f>IF($F398&lt;&gt;"OK","",IF(COUNTIFS($A$2:$A398,$A398,$F$2:$F398,"OK")=1,MAX($T$1:$T397)+1,""))</f>
        <v/>
      </c>
    </row>
    <row r="399">
      <c r="A399" s="11" t="n"/>
      <c r="B399" s="11" t="n"/>
      <c r="C399" s="11" t="n"/>
      <c r="D399" s="11" t="n"/>
      <c r="E399" s="11" t="n"/>
      <c r="F399" s="10">
        <f>IF(AND($A399="",$B399="",$C399=""),"",IF($A399="","⚠ Falta hito",IF(ISNA(MATCH($C399,Cat_Nombre,0)),"⚠ Categoría inválida","OK")))</f>
        <v/>
      </c>
      <c r="G399" s="16">
        <f>IF($F399&lt;&gt;"OK","",IF(UPPER(TRIM($D399))="NO",INDEX(Cat_HMax,MATCH($C399,Cat_Nombre,0)),INDEX(Cat_HMin,MATCH($C399,Cat_Nombre,0))))</f>
        <v/>
      </c>
      <c r="H399" s="16">
        <f>IF($F399&lt;&gt;"OK","",INDEX(Cat_HMax,MATCH($C399,Cat_Nombre,0)))</f>
        <v/>
      </c>
      <c r="I399" s="16">
        <f>IF($F399&lt;&gt;"OK","",(G399+H399)/2)</f>
        <v/>
      </c>
      <c r="J399" s="16">
        <f>IF($F399&lt;&gt;"OK","",G399/HorasDia)</f>
        <v/>
      </c>
      <c r="K399" s="16">
        <f>IF($F399&lt;&gt;"OK","",I399/HorasDia)</f>
        <v/>
      </c>
      <c r="L399" s="16">
        <f>IF($F399&lt;&gt;"OK","",H399/HorasDia)</f>
        <v/>
      </c>
      <c r="M399" s="17">
        <f>IF($F399&lt;&gt;"OK","",IF(UPPER(TRIM($D399))="NO",INDEX(Cat_TMax,MATCH($C399,Cat_Nombre,0)),INDEX(Cat_TMin,MATCH($C399,Cat_Nombre,0))))</f>
        <v/>
      </c>
      <c r="N399" s="17">
        <f>IF($F399&lt;&gt;"OK","",INDEX(Cat_TMax,MATCH($C399,Cat_Nombre,0)))</f>
        <v/>
      </c>
      <c r="O399" s="18">
        <f>IF($F399&lt;&gt;"OK","",INDEX(Cat_POpus,MATCH($C399,Cat_Nombre,0)))</f>
        <v/>
      </c>
      <c r="P399" s="19">
        <f>IF($F399&lt;&gt;"OK","",M399/1000000*((1-O399)*UsdM_Sonnet+O399*UsdM_Opus))</f>
        <v/>
      </c>
      <c r="Q399" s="19">
        <f>IF($F399&lt;&gt;"OK","",N399/1000000*((1-O399)*UsdM_Sonnet+O399*UsdM_Opus))</f>
        <v/>
      </c>
      <c r="R399" s="19">
        <f>IF($F399&lt;&gt;"OK","",G399*TarifaHora)</f>
        <v/>
      </c>
      <c r="S399" s="19">
        <f>IF($F399&lt;&gt;"OK","",H399*TarifaHora)</f>
        <v/>
      </c>
      <c r="T399" s="10">
        <f>IF($F399&lt;&gt;"OK","",IF(COUNTIFS($A$2:$A399,$A399,$F$2:$F399,"OK")=1,MAX($T$1:$T398)+1,""))</f>
        <v/>
      </c>
    </row>
    <row r="400">
      <c r="A400" s="11" t="n"/>
      <c r="B400" s="11" t="n"/>
      <c r="C400" s="11" t="n"/>
      <c r="D400" s="11" t="n"/>
      <c r="E400" s="11" t="n"/>
      <c r="F400" s="10">
        <f>IF(AND($A400="",$B400="",$C400=""),"",IF($A400="","⚠ Falta hito",IF(ISNA(MATCH($C400,Cat_Nombre,0)),"⚠ Categoría inválida","OK")))</f>
        <v/>
      </c>
      <c r="G400" s="16">
        <f>IF($F400&lt;&gt;"OK","",IF(UPPER(TRIM($D400))="NO",INDEX(Cat_HMax,MATCH($C400,Cat_Nombre,0)),INDEX(Cat_HMin,MATCH($C400,Cat_Nombre,0))))</f>
        <v/>
      </c>
      <c r="H400" s="16">
        <f>IF($F400&lt;&gt;"OK","",INDEX(Cat_HMax,MATCH($C400,Cat_Nombre,0)))</f>
        <v/>
      </c>
      <c r="I400" s="16">
        <f>IF($F400&lt;&gt;"OK","",(G400+H400)/2)</f>
        <v/>
      </c>
      <c r="J400" s="16">
        <f>IF($F400&lt;&gt;"OK","",G400/HorasDia)</f>
        <v/>
      </c>
      <c r="K400" s="16">
        <f>IF($F400&lt;&gt;"OK","",I400/HorasDia)</f>
        <v/>
      </c>
      <c r="L400" s="16">
        <f>IF($F400&lt;&gt;"OK","",H400/HorasDia)</f>
        <v/>
      </c>
      <c r="M400" s="17">
        <f>IF($F400&lt;&gt;"OK","",IF(UPPER(TRIM($D400))="NO",INDEX(Cat_TMax,MATCH($C400,Cat_Nombre,0)),INDEX(Cat_TMin,MATCH($C400,Cat_Nombre,0))))</f>
        <v/>
      </c>
      <c r="N400" s="17">
        <f>IF($F400&lt;&gt;"OK","",INDEX(Cat_TMax,MATCH($C400,Cat_Nombre,0)))</f>
        <v/>
      </c>
      <c r="O400" s="18">
        <f>IF($F400&lt;&gt;"OK","",INDEX(Cat_POpus,MATCH($C400,Cat_Nombre,0)))</f>
        <v/>
      </c>
      <c r="P400" s="19">
        <f>IF($F400&lt;&gt;"OK","",M400/1000000*((1-O400)*UsdM_Sonnet+O400*UsdM_Opus))</f>
        <v/>
      </c>
      <c r="Q400" s="19">
        <f>IF($F400&lt;&gt;"OK","",N400/1000000*((1-O400)*UsdM_Sonnet+O400*UsdM_Opus))</f>
        <v/>
      </c>
      <c r="R400" s="19">
        <f>IF($F400&lt;&gt;"OK","",G400*TarifaHora)</f>
        <v/>
      </c>
      <c r="S400" s="19">
        <f>IF($F400&lt;&gt;"OK","",H400*TarifaHora)</f>
        <v/>
      </c>
      <c r="T400" s="10">
        <f>IF($F400&lt;&gt;"OK","",IF(COUNTIFS($A$2:$A400,$A400,$F$2:$F400,"OK")=1,MAX($T$1:$T399)+1,""))</f>
        <v/>
      </c>
    </row>
    <row r="401">
      <c r="A401" s="11" t="n"/>
      <c r="B401" s="11" t="n"/>
      <c r="C401" s="11" t="n"/>
      <c r="D401" s="11" t="n"/>
      <c r="E401" s="11" t="n"/>
      <c r="F401" s="10">
        <f>IF(AND($A401="",$B401="",$C401=""),"",IF($A401="","⚠ Falta hito",IF(ISNA(MATCH($C401,Cat_Nombre,0)),"⚠ Categoría inválida","OK")))</f>
        <v/>
      </c>
      <c r="G401" s="16">
        <f>IF($F401&lt;&gt;"OK","",IF(UPPER(TRIM($D401))="NO",INDEX(Cat_HMax,MATCH($C401,Cat_Nombre,0)),INDEX(Cat_HMin,MATCH($C401,Cat_Nombre,0))))</f>
        <v/>
      </c>
      <c r="H401" s="16">
        <f>IF($F401&lt;&gt;"OK","",INDEX(Cat_HMax,MATCH($C401,Cat_Nombre,0)))</f>
        <v/>
      </c>
      <c r="I401" s="16">
        <f>IF($F401&lt;&gt;"OK","",(G401+H401)/2)</f>
        <v/>
      </c>
      <c r="J401" s="16">
        <f>IF($F401&lt;&gt;"OK","",G401/HorasDia)</f>
        <v/>
      </c>
      <c r="K401" s="16">
        <f>IF($F401&lt;&gt;"OK","",I401/HorasDia)</f>
        <v/>
      </c>
      <c r="L401" s="16">
        <f>IF($F401&lt;&gt;"OK","",H401/HorasDia)</f>
        <v/>
      </c>
      <c r="M401" s="17">
        <f>IF($F401&lt;&gt;"OK","",IF(UPPER(TRIM($D401))="NO",INDEX(Cat_TMax,MATCH($C401,Cat_Nombre,0)),INDEX(Cat_TMin,MATCH($C401,Cat_Nombre,0))))</f>
        <v/>
      </c>
      <c r="N401" s="17">
        <f>IF($F401&lt;&gt;"OK","",INDEX(Cat_TMax,MATCH($C401,Cat_Nombre,0)))</f>
        <v/>
      </c>
      <c r="O401" s="18">
        <f>IF($F401&lt;&gt;"OK","",INDEX(Cat_POpus,MATCH($C401,Cat_Nombre,0)))</f>
        <v/>
      </c>
      <c r="P401" s="19">
        <f>IF($F401&lt;&gt;"OK","",M401/1000000*((1-O401)*UsdM_Sonnet+O401*UsdM_Opus))</f>
        <v/>
      </c>
      <c r="Q401" s="19">
        <f>IF($F401&lt;&gt;"OK","",N401/1000000*((1-O401)*UsdM_Sonnet+O401*UsdM_Opus))</f>
        <v/>
      </c>
      <c r="R401" s="19">
        <f>IF($F401&lt;&gt;"OK","",G401*TarifaHora)</f>
        <v/>
      </c>
      <c r="S401" s="19">
        <f>IF($F401&lt;&gt;"OK","",H401*TarifaHora)</f>
        <v/>
      </c>
      <c r="T401" s="10">
        <f>IF($F401&lt;&gt;"OK","",IF(COUNTIFS($A$2:$A401,$A401,$F$2:$F401,"OK")=1,MAX($T$1:$T400)+1,""))</f>
        <v/>
      </c>
    </row>
    <row r="402">
      <c r="A402" s="11" t="n"/>
      <c r="B402" s="11" t="n"/>
      <c r="C402" s="11" t="n"/>
      <c r="D402" s="11" t="n"/>
      <c r="E402" s="11" t="n"/>
      <c r="F402" s="10">
        <f>IF(AND($A402="",$B402="",$C402=""),"",IF($A402="","⚠ Falta hito",IF(ISNA(MATCH($C402,Cat_Nombre,0)),"⚠ Categoría inválida","OK")))</f>
        <v/>
      </c>
      <c r="G402" s="16">
        <f>IF($F402&lt;&gt;"OK","",IF(UPPER(TRIM($D402))="NO",INDEX(Cat_HMax,MATCH($C402,Cat_Nombre,0)),INDEX(Cat_HMin,MATCH($C402,Cat_Nombre,0))))</f>
        <v/>
      </c>
      <c r="H402" s="16">
        <f>IF($F402&lt;&gt;"OK","",INDEX(Cat_HMax,MATCH($C402,Cat_Nombre,0)))</f>
        <v/>
      </c>
      <c r="I402" s="16">
        <f>IF($F402&lt;&gt;"OK","",(G402+H402)/2)</f>
        <v/>
      </c>
      <c r="J402" s="16">
        <f>IF($F402&lt;&gt;"OK","",G402/HorasDia)</f>
        <v/>
      </c>
      <c r="K402" s="16">
        <f>IF($F402&lt;&gt;"OK","",I402/HorasDia)</f>
        <v/>
      </c>
      <c r="L402" s="16">
        <f>IF($F402&lt;&gt;"OK","",H402/HorasDia)</f>
        <v/>
      </c>
      <c r="M402" s="17">
        <f>IF($F402&lt;&gt;"OK","",IF(UPPER(TRIM($D402))="NO",INDEX(Cat_TMax,MATCH($C402,Cat_Nombre,0)),INDEX(Cat_TMin,MATCH($C402,Cat_Nombre,0))))</f>
        <v/>
      </c>
      <c r="N402" s="17">
        <f>IF($F402&lt;&gt;"OK","",INDEX(Cat_TMax,MATCH($C402,Cat_Nombre,0)))</f>
        <v/>
      </c>
      <c r="O402" s="18">
        <f>IF($F402&lt;&gt;"OK","",INDEX(Cat_POpus,MATCH($C402,Cat_Nombre,0)))</f>
        <v/>
      </c>
      <c r="P402" s="19">
        <f>IF($F402&lt;&gt;"OK","",M402/1000000*((1-O402)*UsdM_Sonnet+O402*UsdM_Opus))</f>
        <v/>
      </c>
      <c r="Q402" s="19">
        <f>IF($F402&lt;&gt;"OK","",N402/1000000*((1-O402)*UsdM_Sonnet+O402*UsdM_Opus))</f>
        <v/>
      </c>
      <c r="R402" s="19">
        <f>IF($F402&lt;&gt;"OK","",G402*TarifaHora)</f>
        <v/>
      </c>
      <c r="S402" s="19">
        <f>IF($F402&lt;&gt;"OK","",H402*TarifaHora)</f>
        <v/>
      </c>
      <c r="T402" s="10">
        <f>IF($F402&lt;&gt;"OK","",IF(COUNTIFS($A$2:$A402,$A402,$F$2:$F402,"OK")=1,MAX($T$1:$T401)+1,""))</f>
        <v/>
      </c>
    </row>
    <row r="403">
      <c r="A403" s="11" t="n"/>
      <c r="B403" s="11" t="n"/>
      <c r="C403" s="11" t="n"/>
      <c r="D403" s="11" t="n"/>
      <c r="E403" s="11" t="n"/>
      <c r="F403" s="10">
        <f>IF(AND($A403="",$B403="",$C403=""),"",IF($A403="","⚠ Falta hito",IF(ISNA(MATCH($C403,Cat_Nombre,0)),"⚠ Categoría inválida","OK")))</f>
        <v/>
      </c>
      <c r="G403" s="16">
        <f>IF($F403&lt;&gt;"OK","",IF(UPPER(TRIM($D403))="NO",INDEX(Cat_HMax,MATCH($C403,Cat_Nombre,0)),INDEX(Cat_HMin,MATCH($C403,Cat_Nombre,0))))</f>
        <v/>
      </c>
      <c r="H403" s="16">
        <f>IF($F403&lt;&gt;"OK","",INDEX(Cat_HMax,MATCH($C403,Cat_Nombre,0)))</f>
        <v/>
      </c>
      <c r="I403" s="16">
        <f>IF($F403&lt;&gt;"OK","",(G403+H403)/2)</f>
        <v/>
      </c>
      <c r="J403" s="16">
        <f>IF($F403&lt;&gt;"OK","",G403/HorasDia)</f>
        <v/>
      </c>
      <c r="K403" s="16">
        <f>IF($F403&lt;&gt;"OK","",I403/HorasDia)</f>
        <v/>
      </c>
      <c r="L403" s="16">
        <f>IF($F403&lt;&gt;"OK","",H403/HorasDia)</f>
        <v/>
      </c>
      <c r="M403" s="17">
        <f>IF($F403&lt;&gt;"OK","",IF(UPPER(TRIM($D403))="NO",INDEX(Cat_TMax,MATCH($C403,Cat_Nombre,0)),INDEX(Cat_TMin,MATCH($C403,Cat_Nombre,0))))</f>
        <v/>
      </c>
      <c r="N403" s="17">
        <f>IF($F403&lt;&gt;"OK","",INDEX(Cat_TMax,MATCH($C403,Cat_Nombre,0)))</f>
        <v/>
      </c>
      <c r="O403" s="18">
        <f>IF($F403&lt;&gt;"OK","",INDEX(Cat_POpus,MATCH($C403,Cat_Nombre,0)))</f>
        <v/>
      </c>
      <c r="P403" s="19">
        <f>IF($F403&lt;&gt;"OK","",M403/1000000*((1-O403)*UsdM_Sonnet+O403*UsdM_Opus))</f>
        <v/>
      </c>
      <c r="Q403" s="19">
        <f>IF($F403&lt;&gt;"OK","",N403/1000000*((1-O403)*UsdM_Sonnet+O403*UsdM_Opus))</f>
        <v/>
      </c>
      <c r="R403" s="19">
        <f>IF($F403&lt;&gt;"OK","",G403*TarifaHora)</f>
        <v/>
      </c>
      <c r="S403" s="19">
        <f>IF($F403&lt;&gt;"OK","",H403*TarifaHora)</f>
        <v/>
      </c>
      <c r="T403" s="10">
        <f>IF($F403&lt;&gt;"OK","",IF(COUNTIFS($A$2:$A403,$A403,$F$2:$F403,"OK")=1,MAX($T$1:$T402)+1,""))</f>
        <v/>
      </c>
    </row>
    <row r="404">
      <c r="A404" s="11" t="n"/>
      <c r="B404" s="11" t="n"/>
      <c r="C404" s="11" t="n"/>
      <c r="D404" s="11" t="n"/>
      <c r="E404" s="11" t="n"/>
      <c r="F404" s="10">
        <f>IF(AND($A404="",$B404="",$C404=""),"",IF($A404="","⚠ Falta hito",IF(ISNA(MATCH($C404,Cat_Nombre,0)),"⚠ Categoría inválida","OK")))</f>
        <v/>
      </c>
      <c r="G404" s="16">
        <f>IF($F404&lt;&gt;"OK","",IF(UPPER(TRIM($D404))="NO",INDEX(Cat_HMax,MATCH($C404,Cat_Nombre,0)),INDEX(Cat_HMin,MATCH($C404,Cat_Nombre,0))))</f>
        <v/>
      </c>
      <c r="H404" s="16">
        <f>IF($F404&lt;&gt;"OK","",INDEX(Cat_HMax,MATCH($C404,Cat_Nombre,0)))</f>
        <v/>
      </c>
      <c r="I404" s="16">
        <f>IF($F404&lt;&gt;"OK","",(G404+H404)/2)</f>
        <v/>
      </c>
      <c r="J404" s="16">
        <f>IF($F404&lt;&gt;"OK","",G404/HorasDia)</f>
        <v/>
      </c>
      <c r="K404" s="16">
        <f>IF($F404&lt;&gt;"OK","",I404/HorasDia)</f>
        <v/>
      </c>
      <c r="L404" s="16">
        <f>IF($F404&lt;&gt;"OK","",H404/HorasDia)</f>
        <v/>
      </c>
      <c r="M404" s="17">
        <f>IF($F404&lt;&gt;"OK","",IF(UPPER(TRIM($D404))="NO",INDEX(Cat_TMax,MATCH($C404,Cat_Nombre,0)),INDEX(Cat_TMin,MATCH($C404,Cat_Nombre,0))))</f>
        <v/>
      </c>
      <c r="N404" s="17">
        <f>IF($F404&lt;&gt;"OK","",INDEX(Cat_TMax,MATCH($C404,Cat_Nombre,0)))</f>
        <v/>
      </c>
      <c r="O404" s="18">
        <f>IF($F404&lt;&gt;"OK","",INDEX(Cat_POpus,MATCH($C404,Cat_Nombre,0)))</f>
        <v/>
      </c>
      <c r="P404" s="19">
        <f>IF($F404&lt;&gt;"OK","",M404/1000000*((1-O404)*UsdM_Sonnet+O404*UsdM_Opus))</f>
        <v/>
      </c>
      <c r="Q404" s="19">
        <f>IF($F404&lt;&gt;"OK","",N404/1000000*((1-O404)*UsdM_Sonnet+O404*UsdM_Opus))</f>
        <v/>
      </c>
      <c r="R404" s="19">
        <f>IF($F404&lt;&gt;"OK","",G404*TarifaHora)</f>
        <v/>
      </c>
      <c r="S404" s="19">
        <f>IF($F404&lt;&gt;"OK","",H404*TarifaHora)</f>
        <v/>
      </c>
      <c r="T404" s="10">
        <f>IF($F404&lt;&gt;"OK","",IF(COUNTIFS($A$2:$A404,$A404,$F$2:$F404,"OK")=1,MAX($T$1:$T403)+1,""))</f>
        <v/>
      </c>
    </row>
    <row r="405">
      <c r="A405" s="11" t="n"/>
      <c r="B405" s="11" t="n"/>
      <c r="C405" s="11" t="n"/>
      <c r="D405" s="11" t="n"/>
      <c r="E405" s="11" t="n"/>
      <c r="F405" s="10">
        <f>IF(AND($A405="",$B405="",$C405=""),"",IF($A405="","⚠ Falta hito",IF(ISNA(MATCH($C405,Cat_Nombre,0)),"⚠ Categoría inválida","OK")))</f>
        <v/>
      </c>
      <c r="G405" s="16">
        <f>IF($F405&lt;&gt;"OK","",IF(UPPER(TRIM($D405))="NO",INDEX(Cat_HMax,MATCH($C405,Cat_Nombre,0)),INDEX(Cat_HMin,MATCH($C405,Cat_Nombre,0))))</f>
        <v/>
      </c>
      <c r="H405" s="16">
        <f>IF($F405&lt;&gt;"OK","",INDEX(Cat_HMax,MATCH($C405,Cat_Nombre,0)))</f>
        <v/>
      </c>
      <c r="I405" s="16">
        <f>IF($F405&lt;&gt;"OK","",(G405+H405)/2)</f>
        <v/>
      </c>
      <c r="J405" s="16">
        <f>IF($F405&lt;&gt;"OK","",G405/HorasDia)</f>
        <v/>
      </c>
      <c r="K405" s="16">
        <f>IF($F405&lt;&gt;"OK","",I405/HorasDia)</f>
        <v/>
      </c>
      <c r="L405" s="16">
        <f>IF($F405&lt;&gt;"OK","",H405/HorasDia)</f>
        <v/>
      </c>
      <c r="M405" s="17">
        <f>IF($F405&lt;&gt;"OK","",IF(UPPER(TRIM($D405))="NO",INDEX(Cat_TMax,MATCH($C405,Cat_Nombre,0)),INDEX(Cat_TMin,MATCH($C405,Cat_Nombre,0))))</f>
        <v/>
      </c>
      <c r="N405" s="17">
        <f>IF($F405&lt;&gt;"OK","",INDEX(Cat_TMax,MATCH($C405,Cat_Nombre,0)))</f>
        <v/>
      </c>
      <c r="O405" s="18">
        <f>IF($F405&lt;&gt;"OK","",INDEX(Cat_POpus,MATCH($C405,Cat_Nombre,0)))</f>
        <v/>
      </c>
      <c r="P405" s="19">
        <f>IF($F405&lt;&gt;"OK","",M405/1000000*((1-O405)*UsdM_Sonnet+O405*UsdM_Opus))</f>
        <v/>
      </c>
      <c r="Q405" s="19">
        <f>IF($F405&lt;&gt;"OK","",N405/1000000*((1-O405)*UsdM_Sonnet+O405*UsdM_Opus))</f>
        <v/>
      </c>
      <c r="R405" s="19">
        <f>IF($F405&lt;&gt;"OK","",G405*TarifaHora)</f>
        <v/>
      </c>
      <c r="S405" s="19">
        <f>IF($F405&lt;&gt;"OK","",H405*TarifaHora)</f>
        <v/>
      </c>
      <c r="T405" s="10">
        <f>IF($F405&lt;&gt;"OK","",IF(COUNTIFS($A$2:$A405,$A405,$F$2:$F405,"OK")=1,MAX($T$1:$T404)+1,""))</f>
        <v/>
      </c>
    </row>
    <row r="406">
      <c r="A406" s="11" t="n"/>
      <c r="B406" s="11" t="n"/>
      <c r="C406" s="11" t="n"/>
      <c r="D406" s="11" t="n"/>
      <c r="E406" s="11" t="n"/>
      <c r="F406" s="10">
        <f>IF(AND($A406="",$B406="",$C406=""),"",IF($A406="","⚠ Falta hito",IF(ISNA(MATCH($C406,Cat_Nombre,0)),"⚠ Categoría inválida","OK")))</f>
        <v/>
      </c>
      <c r="G406" s="16">
        <f>IF($F406&lt;&gt;"OK","",IF(UPPER(TRIM($D406))="NO",INDEX(Cat_HMax,MATCH($C406,Cat_Nombre,0)),INDEX(Cat_HMin,MATCH($C406,Cat_Nombre,0))))</f>
        <v/>
      </c>
      <c r="H406" s="16">
        <f>IF($F406&lt;&gt;"OK","",INDEX(Cat_HMax,MATCH($C406,Cat_Nombre,0)))</f>
        <v/>
      </c>
      <c r="I406" s="16">
        <f>IF($F406&lt;&gt;"OK","",(G406+H406)/2)</f>
        <v/>
      </c>
      <c r="J406" s="16">
        <f>IF($F406&lt;&gt;"OK","",G406/HorasDia)</f>
        <v/>
      </c>
      <c r="K406" s="16">
        <f>IF($F406&lt;&gt;"OK","",I406/HorasDia)</f>
        <v/>
      </c>
      <c r="L406" s="16">
        <f>IF($F406&lt;&gt;"OK","",H406/HorasDia)</f>
        <v/>
      </c>
      <c r="M406" s="17">
        <f>IF($F406&lt;&gt;"OK","",IF(UPPER(TRIM($D406))="NO",INDEX(Cat_TMax,MATCH($C406,Cat_Nombre,0)),INDEX(Cat_TMin,MATCH($C406,Cat_Nombre,0))))</f>
        <v/>
      </c>
      <c r="N406" s="17">
        <f>IF($F406&lt;&gt;"OK","",INDEX(Cat_TMax,MATCH($C406,Cat_Nombre,0)))</f>
        <v/>
      </c>
      <c r="O406" s="18">
        <f>IF($F406&lt;&gt;"OK","",INDEX(Cat_POpus,MATCH($C406,Cat_Nombre,0)))</f>
        <v/>
      </c>
      <c r="P406" s="19">
        <f>IF($F406&lt;&gt;"OK","",M406/1000000*((1-O406)*UsdM_Sonnet+O406*UsdM_Opus))</f>
        <v/>
      </c>
      <c r="Q406" s="19">
        <f>IF($F406&lt;&gt;"OK","",N406/1000000*((1-O406)*UsdM_Sonnet+O406*UsdM_Opus))</f>
        <v/>
      </c>
      <c r="R406" s="19">
        <f>IF($F406&lt;&gt;"OK","",G406*TarifaHora)</f>
        <v/>
      </c>
      <c r="S406" s="19">
        <f>IF($F406&lt;&gt;"OK","",H406*TarifaHora)</f>
        <v/>
      </c>
      <c r="T406" s="10">
        <f>IF($F406&lt;&gt;"OK","",IF(COUNTIFS($A$2:$A406,$A406,$F$2:$F406,"OK")=1,MAX($T$1:$T405)+1,""))</f>
        <v/>
      </c>
    </row>
    <row r="407">
      <c r="A407" s="11" t="n"/>
      <c r="B407" s="11" t="n"/>
      <c r="C407" s="11" t="n"/>
      <c r="D407" s="11" t="n"/>
      <c r="E407" s="11" t="n"/>
      <c r="F407" s="10">
        <f>IF(AND($A407="",$B407="",$C407=""),"",IF($A407="","⚠ Falta hito",IF(ISNA(MATCH($C407,Cat_Nombre,0)),"⚠ Categoría inválida","OK")))</f>
        <v/>
      </c>
      <c r="G407" s="16">
        <f>IF($F407&lt;&gt;"OK","",IF(UPPER(TRIM($D407))="NO",INDEX(Cat_HMax,MATCH($C407,Cat_Nombre,0)),INDEX(Cat_HMin,MATCH($C407,Cat_Nombre,0))))</f>
        <v/>
      </c>
      <c r="H407" s="16">
        <f>IF($F407&lt;&gt;"OK","",INDEX(Cat_HMax,MATCH($C407,Cat_Nombre,0)))</f>
        <v/>
      </c>
      <c r="I407" s="16">
        <f>IF($F407&lt;&gt;"OK","",(G407+H407)/2)</f>
        <v/>
      </c>
      <c r="J407" s="16">
        <f>IF($F407&lt;&gt;"OK","",G407/HorasDia)</f>
        <v/>
      </c>
      <c r="K407" s="16">
        <f>IF($F407&lt;&gt;"OK","",I407/HorasDia)</f>
        <v/>
      </c>
      <c r="L407" s="16">
        <f>IF($F407&lt;&gt;"OK","",H407/HorasDia)</f>
        <v/>
      </c>
      <c r="M407" s="17">
        <f>IF($F407&lt;&gt;"OK","",IF(UPPER(TRIM($D407))="NO",INDEX(Cat_TMax,MATCH($C407,Cat_Nombre,0)),INDEX(Cat_TMin,MATCH($C407,Cat_Nombre,0))))</f>
        <v/>
      </c>
      <c r="N407" s="17">
        <f>IF($F407&lt;&gt;"OK","",INDEX(Cat_TMax,MATCH($C407,Cat_Nombre,0)))</f>
        <v/>
      </c>
      <c r="O407" s="18">
        <f>IF($F407&lt;&gt;"OK","",INDEX(Cat_POpus,MATCH($C407,Cat_Nombre,0)))</f>
        <v/>
      </c>
      <c r="P407" s="19">
        <f>IF($F407&lt;&gt;"OK","",M407/1000000*((1-O407)*UsdM_Sonnet+O407*UsdM_Opus))</f>
        <v/>
      </c>
      <c r="Q407" s="19">
        <f>IF($F407&lt;&gt;"OK","",N407/1000000*((1-O407)*UsdM_Sonnet+O407*UsdM_Opus))</f>
        <v/>
      </c>
      <c r="R407" s="19">
        <f>IF($F407&lt;&gt;"OK","",G407*TarifaHora)</f>
        <v/>
      </c>
      <c r="S407" s="19">
        <f>IF($F407&lt;&gt;"OK","",H407*TarifaHora)</f>
        <v/>
      </c>
      <c r="T407" s="10">
        <f>IF($F407&lt;&gt;"OK","",IF(COUNTIFS($A$2:$A407,$A407,$F$2:$F407,"OK")=1,MAX($T$1:$T406)+1,""))</f>
        <v/>
      </c>
    </row>
    <row r="408">
      <c r="A408" s="11" t="n"/>
      <c r="B408" s="11" t="n"/>
      <c r="C408" s="11" t="n"/>
      <c r="D408" s="11" t="n"/>
      <c r="E408" s="11" t="n"/>
      <c r="F408" s="10">
        <f>IF(AND($A408="",$B408="",$C408=""),"",IF($A408="","⚠ Falta hito",IF(ISNA(MATCH($C408,Cat_Nombre,0)),"⚠ Categoría inválida","OK")))</f>
        <v/>
      </c>
      <c r="G408" s="16">
        <f>IF($F408&lt;&gt;"OK","",IF(UPPER(TRIM($D408))="NO",INDEX(Cat_HMax,MATCH($C408,Cat_Nombre,0)),INDEX(Cat_HMin,MATCH($C408,Cat_Nombre,0))))</f>
        <v/>
      </c>
      <c r="H408" s="16">
        <f>IF($F408&lt;&gt;"OK","",INDEX(Cat_HMax,MATCH($C408,Cat_Nombre,0)))</f>
        <v/>
      </c>
      <c r="I408" s="16">
        <f>IF($F408&lt;&gt;"OK","",(G408+H408)/2)</f>
        <v/>
      </c>
      <c r="J408" s="16">
        <f>IF($F408&lt;&gt;"OK","",G408/HorasDia)</f>
        <v/>
      </c>
      <c r="K408" s="16">
        <f>IF($F408&lt;&gt;"OK","",I408/HorasDia)</f>
        <v/>
      </c>
      <c r="L408" s="16">
        <f>IF($F408&lt;&gt;"OK","",H408/HorasDia)</f>
        <v/>
      </c>
      <c r="M408" s="17">
        <f>IF($F408&lt;&gt;"OK","",IF(UPPER(TRIM($D408))="NO",INDEX(Cat_TMax,MATCH($C408,Cat_Nombre,0)),INDEX(Cat_TMin,MATCH($C408,Cat_Nombre,0))))</f>
        <v/>
      </c>
      <c r="N408" s="17">
        <f>IF($F408&lt;&gt;"OK","",INDEX(Cat_TMax,MATCH($C408,Cat_Nombre,0)))</f>
        <v/>
      </c>
      <c r="O408" s="18">
        <f>IF($F408&lt;&gt;"OK","",INDEX(Cat_POpus,MATCH($C408,Cat_Nombre,0)))</f>
        <v/>
      </c>
      <c r="P408" s="19">
        <f>IF($F408&lt;&gt;"OK","",M408/1000000*((1-O408)*UsdM_Sonnet+O408*UsdM_Opus))</f>
        <v/>
      </c>
      <c r="Q408" s="19">
        <f>IF($F408&lt;&gt;"OK","",N408/1000000*((1-O408)*UsdM_Sonnet+O408*UsdM_Opus))</f>
        <v/>
      </c>
      <c r="R408" s="19">
        <f>IF($F408&lt;&gt;"OK","",G408*TarifaHora)</f>
        <v/>
      </c>
      <c r="S408" s="19">
        <f>IF($F408&lt;&gt;"OK","",H408*TarifaHora)</f>
        <v/>
      </c>
      <c r="T408" s="10">
        <f>IF($F408&lt;&gt;"OK","",IF(COUNTIFS($A$2:$A408,$A408,$F$2:$F408,"OK")=1,MAX($T$1:$T407)+1,""))</f>
        <v/>
      </c>
    </row>
    <row r="409">
      <c r="A409" s="11" t="n"/>
      <c r="B409" s="11" t="n"/>
      <c r="C409" s="11" t="n"/>
      <c r="D409" s="11" t="n"/>
      <c r="E409" s="11" t="n"/>
      <c r="F409" s="10">
        <f>IF(AND($A409="",$B409="",$C409=""),"",IF($A409="","⚠ Falta hito",IF(ISNA(MATCH($C409,Cat_Nombre,0)),"⚠ Categoría inválida","OK")))</f>
        <v/>
      </c>
      <c r="G409" s="16">
        <f>IF($F409&lt;&gt;"OK","",IF(UPPER(TRIM($D409))="NO",INDEX(Cat_HMax,MATCH($C409,Cat_Nombre,0)),INDEX(Cat_HMin,MATCH($C409,Cat_Nombre,0))))</f>
        <v/>
      </c>
      <c r="H409" s="16">
        <f>IF($F409&lt;&gt;"OK","",INDEX(Cat_HMax,MATCH($C409,Cat_Nombre,0)))</f>
        <v/>
      </c>
      <c r="I409" s="16">
        <f>IF($F409&lt;&gt;"OK","",(G409+H409)/2)</f>
        <v/>
      </c>
      <c r="J409" s="16">
        <f>IF($F409&lt;&gt;"OK","",G409/HorasDia)</f>
        <v/>
      </c>
      <c r="K409" s="16">
        <f>IF($F409&lt;&gt;"OK","",I409/HorasDia)</f>
        <v/>
      </c>
      <c r="L409" s="16">
        <f>IF($F409&lt;&gt;"OK","",H409/HorasDia)</f>
        <v/>
      </c>
      <c r="M409" s="17">
        <f>IF($F409&lt;&gt;"OK","",IF(UPPER(TRIM($D409))="NO",INDEX(Cat_TMax,MATCH($C409,Cat_Nombre,0)),INDEX(Cat_TMin,MATCH($C409,Cat_Nombre,0))))</f>
        <v/>
      </c>
      <c r="N409" s="17">
        <f>IF($F409&lt;&gt;"OK","",INDEX(Cat_TMax,MATCH($C409,Cat_Nombre,0)))</f>
        <v/>
      </c>
      <c r="O409" s="18">
        <f>IF($F409&lt;&gt;"OK","",INDEX(Cat_POpus,MATCH($C409,Cat_Nombre,0)))</f>
        <v/>
      </c>
      <c r="P409" s="19">
        <f>IF($F409&lt;&gt;"OK","",M409/1000000*((1-O409)*UsdM_Sonnet+O409*UsdM_Opus))</f>
        <v/>
      </c>
      <c r="Q409" s="19">
        <f>IF($F409&lt;&gt;"OK","",N409/1000000*((1-O409)*UsdM_Sonnet+O409*UsdM_Opus))</f>
        <v/>
      </c>
      <c r="R409" s="19">
        <f>IF($F409&lt;&gt;"OK","",G409*TarifaHora)</f>
        <v/>
      </c>
      <c r="S409" s="19">
        <f>IF($F409&lt;&gt;"OK","",H409*TarifaHora)</f>
        <v/>
      </c>
      <c r="T409" s="10">
        <f>IF($F409&lt;&gt;"OK","",IF(COUNTIFS($A$2:$A409,$A409,$F$2:$F409,"OK")=1,MAX($T$1:$T408)+1,""))</f>
        <v/>
      </c>
    </row>
    <row r="410">
      <c r="A410" s="11" t="n"/>
      <c r="B410" s="11" t="n"/>
      <c r="C410" s="11" t="n"/>
      <c r="D410" s="11" t="n"/>
      <c r="E410" s="11" t="n"/>
      <c r="F410" s="10">
        <f>IF(AND($A410="",$B410="",$C410=""),"",IF($A410="","⚠ Falta hito",IF(ISNA(MATCH($C410,Cat_Nombre,0)),"⚠ Categoría inválida","OK")))</f>
        <v/>
      </c>
      <c r="G410" s="16">
        <f>IF($F410&lt;&gt;"OK","",IF(UPPER(TRIM($D410))="NO",INDEX(Cat_HMax,MATCH($C410,Cat_Nombre,0)),INDEX(Cat_HMin,MATCH($C410,Cat_Nombre,0))))</f>
        <v/>
      </c>
      <c r="H410" s="16">
        <f>IF($F410&lt;&gt;"OK","",INDEX(Cat_HMax,MATCH($C410,Cat_Nombre,0)))</f>
        <v/>
      </c>
      <c r="I410" s="16">
        <f>IF($F410&lt;&gt;"OK","",(G410+H410)/2)</f>
        <v/>
      </c>
      <c r="J410" s="16">
        <f>IF($F410&lt;&gt;"OK","",G410/HorasDia)</f>
        <v/>
      </c>
      <c r="K410" s="16">
        <f>IF($F410&lt;&gt;"OK","",I410/HorasDia)</f>
        <v/>
      </c>
      <c r="L410" s="16">
        <f>IF($F410&lt;&gt;"OK","",H410/HorasDia)</f>
        <v/>
      </c>
      <c r="M410" s="17">
        <f>IF($F410&lt;&gt;"OK","",IF(UPPER(TRIM($D410))="NO",INDEX(Cat_TMax,MATCH($C410,Cat_Nombre,0)),INDEX(Cat_TMin,MATCH($C410,Cat_Nombre,0))))</f>
        <v/>
      </c>
      <c r="N410" s="17">
        <f>IF($F410&lt;&gt;"OK","",INDEX(Cat_TMax,MATCH($C410,Cat_Nombre,0)))</f>
        <v/>
      </c>
      <c r="O410" s="18">
        <f>IF($F410&lt;&gt;"OK","",INDEX(Cat_POpus,MATCH($C410,Cat_Nombre,0)))</f>
        <v/>
      </c>
      <c r="P410" s="19">
        <f>IF($F410&lt;&gt;"OK","",M410/1000000*((1-O410)*UsdM_Sonnet+O410*UsdM_Opus))</f>
        <v/>
      </c>
      <c r="Q410" s="19">
        <f>IF($F410&lt;&gt;"OK","",N410/1000000*((1-O410)*UsdM_Sonnet+O410*UsdM_Opus))</f>
        <v/>
      </c>
      <c r="R410" s="19">
        <f>IF($F410&lt;&gt;"OK","",G410*TarifaHora)</f>
        <v/>
      </c>
      <c r="S410" s="19">
        <f>IF($F410&lt;&gt;"OK","",H410*TarifaHora)</f>
        <v/>
      </c>
      <c r="T410" s="10">
        <f>IF($F410&lt;&gt;"OK","",IF(COUNTIFS($A$2:$A410,$A410,$F$2:$F410,"OK")=1,MAX($T$1:$T409)+1,""))</f>
        <v/>
      </c>
    </row>
    <row r="411">
      <c r="A411" s="11" t="n"/>
      <c r="B411" s="11" t="n"/>
      <c r="C411" s="11" t="n"/>
      <c r="D411" s="11" t="n"/>
      <c r="E411" s="11" t="n"/>
      <c r="F411" s="10">
        <f>IF(AND($A411="",$B411="",$C411=""),"",IF($A411="","⚠ Falta hito",IF(ISNA(MATCH($C411,Cat_Nombre,0)),"⚠ Categoría inválida","OK")))</f>
        <v/>
      </c>
      <c r="G411" s="16">
        <f>IF($F411&lt;&gt;"OK","",IF(UPPER(TRIM($D411))="NO",INDEX(Cat_HMax,MATCH($C411,Cat_Nombre,0)),INDEX(Cat_HMin,MATCH($C411,Cat_Nombre,0))))</f>
        <v/>
      </c>
      <c r="H411" s="16">
        <f>IF($F411&lt;&gt;"OK","",INDEX(Cat_HMax,MATCH($C411,Cat_Nombre,0)))</f>
        <v/>
      </c>
      <c r="I411" s="16">
        <f>IF($F411&lt;&gt;"OK","",(G411+H411)/2)</f>
        <v/>
      </c>
      <c r="J411" s="16">
        <f>IF($F411&lt;&gt;"OK","",G411/HorasDia)</f>
        <v/>
      </c>
      <c r="K411" s="16">
        <f>IF($F411&lt;&gt;"OK","",I411/HorasDia)</f>
        <v/>
      </c>
      <c r="L411" s="16">
        <f>IF($F411&lt;&gt;"OK","",H411/HorasDia)</f>
        <v/>
      </c>
      <c r="M411" s="17">
        <f>IF($F411&lt;&gt;"OK","",IF(UPPER(TRIM($D411))="NO",INDEX(Cat_TMax,MATCH($C411,Cat_Nombre,0)),INDEX(Cat_TMin,MATCH($C411,Cat_Nombre,0))))</f>
        <v/>
      </c>
      <c r="N411" s="17">
        <f>IF($F411&lt;&gt;"OK","",INDEX(Cat_TMax,MATCH($C411,Cat_Nombre,0)))</f>
        <v/>
      </c>
      <c r="O411" s="18">
        <f>IF($F411&lt;&gt;"OK","",INDEX(Cat_POpus,MATCH($C411,Cat_Nombre,0)))</f>
        <v/>
      </c>
      <c r="P411" s="19">
        <f>IF($F411&lt;&gt;"OK","",M411/1000000*((1-O411)*UsdM_Sonnet+O411*UsdM_Opus))</f>
        <v/>
      </c>
      <c r="Q411" s="19">
        <f>IF($F411&lt;&gt;"OK","",N411/1000000*((1-O411)*UsdM_Sonnet+O411*UsdM_Opus))</f>
        <v/>
      </c>
      <c r="R411" s="19">
        <f>IF($F411&lt;&gt;"OK","",G411*TarifaHora)</f>
        <v/>
      </c>
      <c r="S411" s="19">
        <f>IF($F411&lt;&gt;"OK","",H411*TarifaHora)</f>
        <v/>
      </c>
      <c r="T411" s="10">
        <f>IF($F411&lt;&gt;"OK","",IF(COUNTIFS($A$2:$A411,$A411,$F$2:$F411,"OK")=1,MAX($T$1:$T410)+1,""))</f>
        <v/>
      </c>
    </row>
    <row r="412">
      <c r="A412" s="11" t="n"/>
      <c r="B412" s="11" t="n"/>
      <c r="C412" s="11" t="n"/>
      <c r="D412" s="11" t="n"/>
      <c r="E412" s="11" t="n"/>
      <c r="F412" s="10">
        <f>IF(AND($A412="",$B412="",$C412=""),"",IF($A412="","⚠ Falta hito",IF(ISNA(MATCH($C412,Cat_Nombre,0)),"⚠ Categoría inválida","OK")))</f>
        <v/>
      </c>
      <c r="G412" s="16">
        <f>IF($F412&lt;&gt;"OK","",IF(UPPER(TRIM($D412))="NO",INDEX(Cat_HMax,MATCH($C412,Cat_Nombre,0)),INDEX(Cat_HMin,MATCH($C412,Cat_Nombre,0))))</f>
        <v/>
      </c>
      <c r="H412" s="16">
        <f>IF($F412&lt;&gt;"OK","",INDEX(Cat_HMax,MATCH($C412,Cat_Nombre,0)))</f>
        <v/>
      </c>
      <c r="I412" s="16">
        <f>IF($F412&lt;&gt;"OK","",(G412+H412)/2)</f>
        <v/>
      </c>
      <c r="J412" s="16">
        <f>IF($F412&lt;&gt;"OK","",G412/HorasDia)</f>
        <v/>
      </c>
      <c r="K412" s="16">
        <f>IF($F412&lt;&gt;"OK","",I412/HorasDia)</f>
        <v/>
      </c>
      <c r="L412" s="16">
        <f>IF($F412&lt;&gt;"OK","",H412/HorasDia)</f>
        <v/>
      </c>
      <c r="M412" s="17">
        <f>IF($F412&lt;&gt;"OK","",IF(UPPER(TRIM($D412))="NO",INDEX(Cat_TMax,MATCH($C412,Cat_Nombre,0)),INDEX(Cat_TMin,MATCH($C412,Cat_Nombre,0))))</f>
        <v/>
      </c>
      <c r="N412" s="17">
        <f>IF($F412&lt;&gt;"OK","",INDEX(Cat_TMax,MATCH($C412,Cat_Nombre,0)))</f>
        <v/>
      </c>
      <c r="O412" s="18">
        <f>IF($F412&lt;&gt;"OK","",INDEX(Cat_POpus,MATCH($C412,Cat_Nombre,0)))</f>
        <v/>
      </c>
      <c r="P412" s="19">
        <f>IF($F412&lt;&gt;"OK","",M412/1000000*((1-O412)*UsdM_Sonnet+O412*UsdM_Opus))</f>
        <v/>
      </c>
      <c r="Q412" s="19">
        <f>IF($F412&lt;&gt;"OK","",N412/1000000*((1-O412)*UsdM_Sonnet+O412*UsdM_Opus))</f>
        <v/>
      </c>
      <c r="R412" s="19">
        <f>IF($F412&lt;&gt;"OK","",G412*TarifaHora)</f>
        <v/>
      </c>
      <c r="S412" s="19">
        <f>IF($F412&lt;&gt;"OK","",H412*TarifaHora)</f>
        <v/>
      </c>
      <c r="T412" s="10">
        <f>IF($F412&lt;&gt;"OK","",IF(COUNTIFS($A$2:$A412,$A412,$F$2:$F412,"OK")=1,MAX($T$1:$T411)+1,""))</f>
        <v/>
      </c>
    </row>
    <row r="413">
      <c r="A413" s="11" t="n"/>
      <c r="B413" s="11" t="n"/>
      <c r="C413" s="11" t="n"/>
      <c r="D413" s="11" t="n"/>
      <c r="E413" s="11" t="n"/>
      <c r="F413" s="10">
        <f>IF(AND($A413="",$B413="",$C413=""),"",IF($A413="","⚠ Falta hito",IF(ISNA(MATCH($C413,Cat_Nombre,0)),"⚠ Categoría inválida","OK")))</f>
        <v/>
      </c>
      <c r="G413" s="16">
        <f>IF($F413&lt;&gt;"OK","",IF(UPPER(TRIM($D413))="NO",INDEX(Cat_HMax,MATCH($C413,Cat_Nombre,0)),INDEX(Cat_HMin,MATCH($C413,Cat_Nombre,0))))</f>
        <v/>
      </c>
      <c r="H413" s="16">
        <f>IF($F413&lt;&gt;"OK","",INDEX(Cat_HMax,MATCH($C413,Cat_Nombre,0)))</f>
        <v/>
      </c>
      <c r="I413" s="16">
        <f>IF($F413&lt;&gt;"OK","",(G413+H413)/2)</f>
        <v/>
      </c>
      <c r="J413" s="16">
        <f>IF($F413&lt;&gt;"OK","",G413/HorasDia)</f>
        <v/>
      </c>
      <c r="K413" s="16">
        <f>IF($F413&lt;&gt;"OK","",I413/HorasDia)</f>
        <v/>
      </c>
      <c r="L413" s="16">
        <f>IF($F413&lt;&gt;"OK","",H413/HorasDia)</f>
        <v/>
      </c>
      <c r="M413" s="17">
        <f>IF($F413&lt;&gt;"OK","",IF(UPPER(TRIM($D413))="NO",INDEX(Cat_TMax,MATCH($C413,Cat_Nombre,0)),INDEX(Cat_TMin,MATCH($C413,Cat_Nombre,0))))</f>
        <v/>
      </c>
      <c r="N413" s="17">
        <f>IF($F413&lt;&gt;"OK","",INDEX(Cat_TMax,MATCH($C413,Cat_Nombre,0)))</f>
        <v/>
      </c>
      <c r="O413" s="18">
        <f>IF($F413&lt;&gt;"OK","",INDEX(Cat_POpus,MATCH($C413,Cat_Nombre,0)))</f>
        <v/>
      </c>
      <c r="P413" s="19">
        <f>IF($F413&lt;&gt;"OK","",M413/1000000*((1-O413)*UsdM_Sonnet+O413*UsdM_Opus))</f>
        <v/>
      </c>
      <c r="Q413" s="19">
        <f>IF($F413&lt;&gt;"OK","",N413/1000000*((1-O413)*UsdM_Sonnet+O413*UsdM_Opus))</f>
        <v/>
      </c>
      <c r="R413" s="19">
        <f>IF($F413&lt;&gt;"OK","",G413*TarifaHora)</f>
        <v/>
      </c>
      <c r="S413" s="19">
        <f>IF($F413&lt;&gt;"OK","",H413*TarifaHora)</f>
        <v/>
      </c>
      <c r="T413" s="10">
        <f>IF($F413&lt;&gt;"OK","",IF(COUNTIFS($A$2:$A413,$A413,$F$2:$F413,"OK")=1,MAX($T$1:$T412)+1,""))</f>
        <v/>
      </c>
    </row>
    <row r="414">
      <c r="A414" s="11" t="n"/>
      <c r="B414" s="11" t="n"/>
      <c r="C414" s="11" t="n"/>
      <c r="D414" s="11" t="n"/>
      <c r="E414" s="11" t="n"/>
      <c r="F414" s="10">
        <f>IF(AND($A414="",$B414="",$C414=""),"",IF($A414="","⚠ Falta hito",IF(ISNA(MATCH($C414,Cat_Nombre,0)),"⚠ Categoría inválida","OK")))</f>
        <v/>
      </c>
      <c r="G414" s="16">
        <f>IF($F414&lt;&gt;"OK","",IF(UPPER(TRIM($D414))="NO",INDEX(Cat_HMax,MATCH($C414,Cat_Nombre,0)),INDEX(Cat_HMin,MATCH($C414,Cat_Nombre,0))))</f>
        <v/>
      </c>
      <c r="H414" s="16">
        <f>IF($F414&lt;&gt;"OK","",INDEX(Cat_HMax,MATCH($C414,Cat_Nombre,0)))</f>
        <v/>
      </c>
      <c r="I414" s="16">
        <f>IF($F414&lt;&gt;"OK","",(G414+H414)/2)</f>
        <v/>
      </c>
      <c r="J414" s="16">
        <f>IF($F414&lt;&gt;"OK","",G414/HorasDia)</f>
        <v/>
      </c>
      <c r="K414" s="16">
        <f>IF($F414&lt;&gt;"OK","",I414/HorasDia)</f>
        <v/>
      </c>
      <c r="L414" s="16">
        <f>IF($F414&lt;&gt;"OK","",H414/HorasDia)</f>
        <v/>
      </c>
      <c r="M414" s="17">
        <f>IF($F414&lt;&gt;"OK","",IF(UPPER(TRIM($D414))="NO",INDEX(Cat_TMax,MATCH($C414,Cat_Nombre,0)),INDEX(Cat_TMin,MATCH($C414,Cat_Nombre,0))))</f>
        <v/>
      </c>
      <c r="N414" s="17">
        <f>IF($F414&lt;&gt;"OK","",INDEX(Cat_TMax,MATCH($C414,Cat_Nombre,0)))</f>
        <v/>
      </c>
      <c r="O414" s="18">
        <f>IF($F414&lt;&gt;"OK","",INDEX(Cat_POpus,MATCH($C414,Cat_Nombre,0)))</f>
        <v/>
      </c>
      <c r="P414" s="19">
        <f>IF($F414&lt;&gt;"OK","",M414/1000000*((1-O414)*UsdM_Sonnet+O414*UsdM_Opus))</f>
        <v/>
      </c>
      <c r="Q414" s="19">
        <f>IF($F414&lt;&gt;"OK","",N414/1000000*((1-O414)*UsdM_Sonnet+O414*UsdM_Opus))</f>
        <v/>
      </c>
      <c r="R414" s="19">
        <f>IF($F414&lt;&gt;"OK","",G414*TarifaHora)</f>
        <v/>
      </c>
      <c r="S414" s="19">
        <f>IF($F414&lt;&gt;"OK","",H414*TarifaHora)</f>
        <v/>
      </c>
      <c r="T414" s="10">
        <f>IF($F414&lt;&gt;"OK","",IF(COUNTIFS($A$2:$A414,$A414,$F$2:$F414,"OK")=1,MAX($T$1:$T413)+1,""))</f>
        <v/>
      </c>
    </row>
    <row r="415">
      <c r="A415" s="11" t="n"/>
      <c r="B415" s="11" t="n"/>
      <c r="C415" s="11" t="n"/>
      <c r="D415" s="11" t="n"/>
      <c r="E415" s="11" t="n"/>
      <c r="F415" s="10">
        <f>IF(AND($A415="",$B415="",$C415=""),"",IF($A415="","⚠ Falta hito",IF(ISNA(MATCH($C415,Cat_Nombre,0)),"⚠ Categoría inválida","OK")))</f>
        <v/>
      </c>
      <c r="G415" s="16">
        <f>IF($F415&lt;&gt;"OK","",IF(UPPER(TRIM($D415))="NO",INDEX(Cat_HMax,MATCH($C415,Cat_Nombre,0)),INDEX(Cat_HMin,MATCH($C415,Cat_Nombre,0))))</f>
        <v/>
      </c>
      <c r="H415" s="16">
        <f>IF($F415&lt;&gt;"OK","",INDEX(Cat_HMax,MATCH($C415,Cat_Nombre,0)))</f>
        <v/>
      </c>
      <c r="I415" s="16">
        <f>IF($F415&lt;&gt;"OK","",(G415+H415)/2)</f>
        <v/>
      </c>
      <c r="J415" s="16">
        <f>IF($F415&lt;&gt;"OK","",G415/HorasDia)</f>
        <v/>
      </c>
      <c r="K415" s="16">
        <f>IF($F415&lt;&gt;"OK","",I415/HorasDia)</f>
        <v/>
      </c>
      <c r="L415" s="16">
        <f>IF($F415&lt;&gt;"OK","",H415/HorasDia)</f>
        <v/>
      </c>
      <c r="M415" s="17">
        <f>IF($F415&lt;&gt;"OK","",IF(UPPER(TRIM($D415))="NO",INDEX(Cat_TMax,MATCH($C415,Cat_Nombre,0)),INDEX(Cat_TMin,MATCH($C415,Cat_Nombre,0))))</f>
        <v/>
      </c>
      <c r="N415" s="17">
        <f>IF($F415&lt;&gt;"OK","",INDEX(Cat_TMax,MATCH($C415,Cat_Nombre,0)))</f>
        <v/>
      </c>
      <c r="O415" s="18">
        <f>IF($F415&lt;&gt;"OK","",INDEX(Cat_POpus,MATCH($C415,Cat_Nombre,0)))</f>
        <v/>
      </c>
      <c r="P415" s="19">
        <f>IF($F415&lt;&gt;"OK","",M415/1000000*((1-O415)*UsdM_Sonnet+O415*UsdM_Opus))</f>
        <v/>
      </c>
      <c r="Q415" s="19">
        <f>IF($F415&lt;&gt;"OK","",N415/1000000*((1-O415)*UsdM_Sonnet+O415*UsdM_Opus))</f>
        <v/>
      </c>
      <c r="R415" s="19">
        <f>IF($F415&lt;&gt;"OK","",G415*TarifaHora)</f>
        <v/>
      </c>
      <c r="S415" s="19">
        <f>IF($F415&lt;&gt;"OK","",H415*TarifaHora)</f>
        <v/>
      </c>
      <c r="T415" s="10">
        <f>IF($F415&lt;&gt;"OK","",IF(COUNTIFS($A$2:$A415,$A415,$F$2:$F415,"OK")=1,MAX($T$1:$T414)+1,""))</f>
        <v/>
      </c>
    </row>
    <row r="416">
      <c r="A416" s="11" t="n"/>
      <c r="B416" s="11" t="n"/>
      <c r="C416" s="11" t="n"/>
      <c r="D416" s="11" t="n"/>
      <c r="E416" s="11" t="n"/>
      <c r="F416" s="10">
        <f>IF(AND($A416="",$B416="",$C416=""),"",IF($A416="","⚠ Falta hito",IF(ISNA(MATCH($C416,Cat_Nombre,0)),"⚠ Categoría inválida","OK")))</f>
        <v/>
      </c>
      <c r="G416" s="16">
        <f>IF($F416&lt;&gt;"OK","",IF(UPPER(TRIM($D416))="NO",INDEX(Cat_HMax,MATCH($C416,Cat_Nombre,0)),INDEX(Cat_HMin,MATCH($C416,Cat_Nombre,0))))</f>
        <v/>
      </c>
      <c r="H416" s="16">
        <f>IF($F416&lt;&gt;"OK","",INDEX(Cat_HMax,MATCH($C416,Cat_Nombre,0)))</f>
        <v/>
      </c>
      <c r="I416" s="16">
        <f>IF($F416&lt;&gt;"OK","",(G416+H416)/2)</f>
        <v/>
      </c>
      <c r="J416" s="16">
        <f>IF($F416&lt;&gt;"OK","",G416/HorasDia)</f>
        <v/>
      </c>
      <c r="K416" s="16">
        <f>IF($F416&lt;&gt;"OK","",I416/HorasDia)</f>
        <v/>
      </c>
      <c r="L416" s="16">
        <f>IF($F416&lt;&gt;"OK","",H416/HorasDia)</f>
        <v/>
      </c>
      <c r="M416" s="17">
        <f>IF($F416&lt;&gt;"OK","",IF(UPPER(TRIM($D416))="NO",INDEX(Cat_TMax,MATCH($C416,Cat_Nombre,0)),INDEX(Cat_TMin,MATCH($C416,Cat_Nombre,0))))</f>
        <v/>
      </c>
      <c r="N416" s="17">
        <f>IF($F416&lt;&gt;"OK","",INDEX(Cat_TMax,MATCH($C416,Cat_Nombre,0)))</f>
        <v/>
      </c>
      <c r="O416" s="18">
        <f>IF($F416&lt;&gt;"OK","",INDEX(Cat_POpus,MATCH($C416,Cat_Nombre,0)))</f>
        <v/>
      </c>
      <c r="P416" s="19">
        <f>IF($F416&lt;&gt;"OK","",M416/1000000*((1-O416)*UsdM_Sonnet+O416*UsdM_Opus))</f>
        <v/>
      </c>
      <c r="Q416" s="19">
        <f>IF($F416&lt;&gt;"OK","",N416/1000000*((1-O416)*UsdM_Sonnet+O416*UsdM_Opus))</f>
        <v/>
      </c>
      <c r="R416" s="19">
        <f>IF($F416&lt;&gt;"OK","",G416*TarifaHora)</f>
        <v/>
      </c>
      <c r="S416" s="19">
        <f>IF($F416&lt;&gt;"OK","",H416*TarifaHora)</f>
        <v/>
      </c>
      <c r="T416" s="10">
        <f>IF($F416&lt;&gt;"OK","",IF(COUNTIFS($A$2:$A416,$A416,$F$2:$F416,"OK")=1,MAX($T$1:$T415)+1,""))</f>
        <v/>
      </c>
    </row>
    <row r="417">
      <c r="A417" s="11" t="n"/>
      <c r="B417" s="11" t="n"/>
      <c r="C417" s="11" t="n"/>
      <c r="D417" s="11" t="n"/>
      <c r="E417" s="11" t="n"/>
      <c r="F417" s="10">
        <f>IF(AND($A417="",$B417="",$C417=""),"",IF($A417="","⚠ Falta hito",IF(ISNA(MATCH($C417,Cat_Nombre,0)),"⚠ Categoría inválida","OK")))</f>
        <v/>
      </c>
      <c r="G417" s="16">
        <f>IF($F417&lt;&gt;"OK","",IF(UPPER(TRIM($D417))="NO",INDEX(Cat_HMax,MATCH($C417,Cat_Nombre,0)),INDEX(Cat_HMin,MATCH($C417,Cat_Nombre,0))))</f>
        <v/>
      </c>
      <c r="H417" s="16">
        <f>IF($F417&lt;&gt;"OK","",INDEX(Cat_HMax,MATCH($C417,Cat_Nombre,0)))</f>
        <v/>
      </c>
      <c r="I417" s="16">
        <f>IF($F417&lt;&gt;"OK","",(G417+H417)/2)</f>
        <v/>
      </c>
      <c r="J417" s="16">
        <f>IF($F417&lt;&gt;"OK","",G417/HorasDia)</f>
        <v/>
      </c>
      <c r="K417" s="16">
        <f>IF($F417&lt;&gt;"OK","",I417/HorasDia)</f>
        <v/>
      </c>
      <c r="L417" s="16">
        <f>IF($F417&lt;&gt;"OK","",H417/HorasDia)</f>
        <v/>
      </c>
      <c r="M417" s="17">
        <f>IF($F417&lt;&gt;"OK","",IF(UPPER(TRIM($D417))="NO",INDEX(Cat_TMax,MATCH($C417,Cat_Nombre,0)),INDEX(Cat_TMin,MATCH($C417,Cat_Nombre,0))))</f>
        <v/>
      </c>
      <c r="N417" s="17">
        <f>IF($F417&lt;&gt;"OK","",INDEX(Cat_TMax,MATCH($C417,Cat_Nombre,0)))</f>
        <v/>
      </c>
      <c r="O417" s="18">
        <f>IF($F417&lt;&gt;"OK","",INDEX(Cat_POpus,MATCH($C417,Cat_Nombre,0)))</f>
        <v/>
      </c>
      <c r="P417" s="19">
        <f>IF($F417&lt;&gt;"OK","",M417/1000000*((1-O417)*UsdM_Sonnet+O417*UsdM_Opus))</f>
        <v/>
      </c>
      <c r="Q417" s="19">
        <f>IF($F417&lt;&gt;"OK","",N417/1000000*((1-O417)*UsdM_Sonnet+O417*UsdM_Opus))</f>
        <v/>
      </c>
      <c r="R417" s="19">
        <f>IF($F417&lt;&gt;"OK","",G417*TarifaHora)</f>
        <v/>
      </c>
      <c r="S417" s="19">
        <f>IF($F417&lt;&gt;"OK","",H417*TarifaHora)</f>
        <v/>
      </c>
      <c r="T417" s="10">
        <f>IF($F417&lt;&gt;"OK","",IF(COUNTIFS($A$2:$A417,$A417,$F$2:$F417,"OK")=1,MAX($T$1:$T416)+1,""))</f>
        <v/>
      </c>
    </row>
    <row r="418">
      <c r="A418" s="11" t="n"/>
      <c r="B418" s="11" t="n"/>
      <c r="C418" s="11" t="n"/>
      <c r="D418" s="11" t="n"/>
      <c r="E418" s="11" t="n"/>
      <c r="F418" s="10">
        <f>IF(AND($A418="",$B418="",$C418=""),"",IF($A418="","⚠ Falta hito",IF(ISNA(MATCH($C418,Cat_Nombre,0)),"⚠ Categoría inválida","OK")))</f>
        <v/>
      </c>
      <c r="G418" s="16">
        <f>IF($F418&lt;&gt;"OK","",IF(UPPER(TRIM($D418))="NO",INDEX(Cat_HMax,MATCH($C418,Cat_Nombre,0)),INDEX(Cat_HMin,MATCH($C418,Cat_Nombre,0))))</f>
        <v/>
      </c>
      <c r="H418" s="16">
        <f>IF($F418&lt;&gt;"OK","",INDEX(Cat_HMax,MATCH($C418,Cat_Nombre,0)))</f>
        <v/>
      </c>
      <c r="I418" s="16">
        <f>IF($F418&lt;&gt;"OK","",(G418+H418)/2)</f>
        <v/>
      </c>
      <c r="J418" s="16">
        <f>IF($F418&lt;&gt;"OK","",G418/HorasDia)</f>
        <v/>
      </c>
      <c r="K418" s="16">
        <f>IF($F418&lt;&gt;"OK","",I418/HorasDia)</f>
        <v/>
      </c>
      <c r="L418" s="16">
        <f>IF($F418&lt;&gt;"OK","",H418/HorasDia)</f>
        <v/>
      </c>
      <c r="M418" s="17">
        <f>IF($F418&lt;&gt;"OK","",IF(UPPER(TRIM($D418))="NO",INDEX(Cat_TMax,MATCH($C418,Cat_Nombre,0)),INDEX(Cat_TMin,MATCH($C418,Cat_Nombre,0))))</f>
        <v/>
      </c>
      <c r="N418" s="17">
        <f>IF($F418&lt;&gt;"OK","",INDEX(Cat_TMax,MATCH($C418,Cat_Nombre,0)))</f>
        <v/>
      </c>
      <c r="O418" s="18">
        <f>IF($F418&lt;&gt;"OK","",INDEX(Cat_POpus,MATCH($C418,Cat_Nombre,0)))</f>
        <v/>
      </c>
      <c r="P418" s="19">
        <f>IF($F418&lt;&gt;"OK","",M418/1000000*((1-O418)*UsdM_Sonnet+O418*UsdM_Opus))</f>
        <v/>
      </c>
      <c r="Q418" s="19">
        <f>IF($F418&lt;&gt;"OK","",N418/1000000*((1-O418)*UsdM_Sonnet+O418*UsdM_Opus))</f>
        <v/>
      </c>
      <c r="R418" s="19">
        <f>IF($F418&lt;&gt;"OK","",G418*TarifaHora)</f>
        <v/>
      </c>
      <c r="S418" s="19">
        <f>IF($F418&lt;&gt;"OK","",H418*TarifaHora)</f>
        <v/>
      </c>
      <c r="T418" s="10">
        <f>IF($F418&lt;&gt;"OK","",IF(COUNTIFS($A$2:$A418,$A418,$F$2:$F418,"OK")=1,MAX($T$1:$T417)+1,""))</f>
        <v/>
      </c>
    </row>
    <row r="419">
      <c r="A419" s="11" t="n"/>
      <c r="B419" s="11" t="n"/>
      <c r="C419" s="11" t="n"/>
      <c r="D419" s="11" t="n"/>
      <c r="E419" s="11" t="n"/>
      <c r="F419" s="10">
        <f>IF(AND($A419="",$B419="",$C419=""),"",IF($A419="","⚠ Falta hito",IF(ISNA(MATCH($C419,Cat_Nombre,0)),"⚠ Categoría inválida","OK")))</f>
        <v/>
      </c>
      <c r="G419" s="16">
        <f>IF($F419&lt;&gt;"OK","",IF(UPPER(TRIM($D419))="NO",INDEX(Cat_HMax,MATCH($C419,Cat_Nombre,0)),INDEX(Cat_HMin,MATCH($C419,Cat_Nombre,0))))</f>
        <v/>
      </c>
      <c r="H419" s="16">
        <f>IF($F419&lt;&gt;"OK","",INDEX(Cat_HMax,MATCH($C419,Cat_Nombre,0)))</f>
        <v/>
      </c>
      <c r="I419" s="16">
        <f>IF($F419&lt;&gt;"OK","",(G419+H419)/2)</f>
        <v/>
      </c>
      <c r="J419" s="16">
        <f>IF($F419&lt;&gt;"OK","",G419/HorasDia)</f>
        <v/>
      </c>
      <c r="K419" s="16">
        <f>IF($F419&lt;&gt;"OK","",I419/HorasDia)</f>
        <v/>
      </c>
      <c r="L419" s="16">
        <f>IF($F419&lt;&gt;"OK","",H419/HorasDia)</f>
        <v/>
      </c>
      <c r="M419" s="17">
        <f>IF($F419&lt;&gt;"OK","",IF(UPPER(TRIM($D419))="NO",INDEX(Cat_TMax,MATCH($C419,Cat_Nombre,0)),INDEX(Cat_TMin,MATCH($C419,Cat_Nombre,0))))</f>
        <v/>
      </c>
      <c r="N419" s="17">
        <f>IF($F419&lt;&gt;"OK","",INDEX(Cat_TMax,MATCH($C419,Cat_Nombre,0)))</f>
        <v/>
      </c>
      <c r="O419" s="18">
        <f>IF($F419&lt;&gt;"OK","",INDEX(Cat_POpus,MATCH($C419,Cat_Nombre,0)))</f>
        <v/>
      </c>
      <c r="P419" s="19">
        <f>IF($F419&lt;&gt;"OK","",M419/1000000*((1-O419)*UsdM_Sonnet+O419*UsdM_Opus))</f>
        <v/>
      </c>
      <c r="Q419" s="19">
        <f>IF($F419&lt;&gt;"OK","",N419/1000000*((1-O419)*UsdM_Sonnet+O419*UsdM_Opus))</f>
        <v/>
      </c>
      <c r="R419" s="19">
        <f>IF($F419&lt;&gt;"OK","",G419*TarifaHora)</f>
        <v/>
      </c>
      <c r="S419" s="19">
        <f>IF($F419&lt;&gt;"OK","",H419*TarifaHora)</f>
        <v/>
      </c>
      <c r="T419" s="10">
        <f>IF($F419&lt;&gt;"OK","",IF(COUNTIFS($A$2:$A419,$A419,$F$2:$F419,"OK")=1,MAX($T$1:$T418)+1,""))</f>
        <v/>
      </c>
    </row>
    <row r="420">
      <c r="A420" s="11" t="n"/>
      <c r="B420" s="11" t="n"/>
      <c r="C420" s="11" t="n"/>
      <c r="D420" s="11" t="n"/>
      <c r="E420" s="11" t="n"/>
      <c r="F420" s="10">
        <f>IF(AND($A420="",$B420="",$C420=""),"",IF($A420="","⚠ Falta hito",IF(ISNA(MATCH($C420,Cat_Nombre,0)),"⚠ Categoría inválida","OK")))</f>
        <v/>
      </c>
      <c r="G420" s="16">
        <f>IF($F420&lt;&gt;"OK","",IF(UPPER(TRIM($D420))="NO",INDEX(Cat_HMax,MATCH($C420,Cat_Nombre,0)),INDEX(Cat_HMin,MATCH($C420,Cat_Nombre,0))))</f>
        <v/>
      </c>
      <c r="H420" s="16">
        <f>IF($F420&lt;&gt;"OK","",INDEX(Cat_HMax,MATCH($C420,Cat_Nombre,0)))</f>
        <v/>
      </c>
      <c r="I420" s="16">
        <f>IF($F420&lt;&gt;"OK","",(G420+H420)/2)</f>
        <v/>
      </c>
      <c r="J420" s="16">
        <f>IF($F420&lt;&gt;"OK","",G420/HorasDia)</f>
        <v/>
      </c>
      <c r="K420" s="16">
        <f>IF($F420&lt;&gt;"OK","",I420/HorasDia)</f>
        <v/>
      </c>
      <c r="L420" s="16">
        <f>IF($F420&lt;&gt;"OK","",H420/HorasDia)</f>
        <v/>
      </c>
      <c r="M420" s="17">
        <f>IF($F420&lt;&gt;"OK","",IF(UPPER(TRIM($D420))="NO",INDEX(Cat_TMax,MATCH($C420,Cat_Nombre,0)),INDEX(Cat_TMin,MATCH($C420,Cat_Nombre,0))))</f>
        <v/>
      </c>
      <c r="N420" s="17">
        <f>IF($F420&lt;&gt;"OK","",INDEX(Cat_TMax,MATCH($C420,Cat_Nombre,0)))</f>
        <v/>
      </c>
      <c r="O420" s="18">
        <f>IF($F420&lt;&gt;"OK","",INDEX(Cat_POpus,MATCH($C420,Cat_Nombre,0)))</f>
        <v/>
      </c>
      <c r="P420" s="19">
        <f>IF($F420&lt;&gt;"OK","",M420/1000000*((1-O420)*UsdM_Sonnet+O420*UsdM_Opus))</f>
        <v/>
      </c>
      <c r="Q420" s="19">
        <f>IF($F420&lt;&gt;"OK","",N420/1000000*((1-O420)*UsdM_Sonnet+O420*UsdM_Opus))</f>
        <v/>
      </c>
      <c r="R420" s="19">
        <f>IF($F420&lt;&gt;"OK","",G420*TarifaHora)</f>
        <v/>
      </c>
      <c r="S420" s="19">
        <f>IF($F420&lt;&gt;"OK","",H420*TarifaHora)</f>
        <v/>
      </c>
      <c r="T420" s="10">
        <f>IF($F420&lt;&gt;"OK","",IF(COUNTIFS($A$2:$A420,$A420,$F$2:$F420,"OK")=1,MAX($T$1:$T419)+1,""))</f>
        <v/>
      </c>
    </row>
    <row r="421">
      <c r="A421" s="11" t="n"/>
      <c r="B421" s="11" t="n"/>
      <c r="C421" s="11" t="n"/>
      <c r="D421" s="11" t="n"/>
      <c r="E421" s="11" t="n"/>
      <c r="F421" s="10">
        <f>IF(AND($A421="",$B421="",$C421=""),"",IF($A421="","⚠ Falta hito",IF(ISNA(MATCH($C421,Cat_Nombre,0)),"⚠ Categoría inválida","OK")))</f>
        <v/>
      </c>
      <c r="G421" s="16">
        <f>IF($F421&lt;&gt;"OK","",IF(UPPER(TRIM($D421))="NO",INDEX(Cat_HMax,MATCH($C421,Cat_Nombre,0)),INDEX(Cat_HMin,MATCH($C421,Cat_Nombre,0))))</f>
        <v/>
      </c>
      <c r="H421" s="16">
        <f>IF($F421&lt;&gt;"OK","",INDEX(Cat_HMax,MATCH($C421,Cat_Nombre,0)))</f>
        <v/>
      </c>
      <c r="I421" s="16">
        <f>IF($F421&lt;&gt;"OK","",(G421+H421)/2)</f>
        <v/>
      </c>
      <c r="J421" s="16">
        <f>IF($F421&lt;&gt;"OK","",G421/HorasDia)</f>
        <v/>
      </c>
      <c r="K421" s="16">
        <f>IF($F421&lt;&gt;"OK","",I421/HorasDia)</f>
        <v/>
      </c>
      <c r="L421" s="16">
        <f>IF($F421&lt;&gt;"OK","",H421/HorasDia)</f>
        <v/>
      </c>
      <c r="M421" s="17">
        <f>IF($F421&lt;&gt;"OK","",IF(UPPER(TRIM($D421))="NO",INDEX(Cat_TMax,MATCH($C421,Cat_Nombre,0)),INDEX(Cat_TMin,MATCH($C421,Cat_Nombre,0))))</f>
        <v/>
      </c>
      <c r="N421" s="17">
        <f>IF($F421&lt;&gt;"OK","",INDEX(Cat_TMax,MATCH($C421,Cat_Nombre,0)))</f>
        <v/>
      </c>
      <c r="O421" s="18">
        <f>IF($F421&lt;&gt;"OK","",INDEX(Cat_POpus,MATCH($C421,Cat_Nombre,0)))</f>
        <v/>
      </c>
      <c r="P421" s="19">
        <f>IF($F421&lt;&gt;"OK","",M421/1000000*((1-O421)*UsdM_Sonnet+O421*UsdM_Opus))</f>
        <v/>
      </c>
      <c r="Q421" s="19">
        <f>IF($F421&lt;&gt;"OK","",N421/1000000*((1-O421)*UsdM_Sonnet+O421*UsdM_Opus))</f>
        <v/>
      </c>
      <c r="R421" s="19">
        <f>IF($F421&lt;&gt;"OK","",G421*TarifaHora)</f>
        <v/>
      </c>
      <c r="S421" s="19">
        <f>IF($F421&lt;&gt;"OK","",H421*TarifaHora)</f>
        <v/>
      </c>
      <c r="T421" s="10">
        <f>IF($F421&lt;&gt;"OK","",IF(COUNTIFS($A$2:$A421,$A421,$F$2:$F421,"OK")=1,MAX($T$1:$T420)+1,""))</f>
        <v/>
      </c>
    </row>
    <row r="422">
      <c r="A422" s="11" t="n"/>
      <c r="B422" s="11" t="n"/>
      <c r="C422" s="11" t="n"/>
      <c r="D422" s="11" t="n"/>
      <c r="E422" s="11" t="n"/>
      <c r="F422" s="10">
        <f>IF(AND($A422="",$B422="",$C422=""),"",IF($A422="","⚠ Falta hito",IF(ISNA(MATCH($C422,Cat_Nombre,0)),"⚠ Categoría inválida","OK")))</f>
        <v/>
      </c>
      <c r="G422" s="16">
        <f>IF($F422&lt;&gt;"OK","",IF(UPPER(TRIM($D422))="NO",INDEX(Cat_HMax,MATCH($C422,Cat_Nombre,0)),INDEX(Cat_HMin,MATCH($C422,Cat_Nombre,0))))</f>
        <v/>
      </c>
      <c r="H422" s="16">
        <f>IF($F422&lt;&gt;"OK","",INDEX(Cat_HMax,MATCH($C422,Cat_Nombre,0)))</f>
        <v/>
      </c>
      <c r="I422" s="16">
        <f>IF($F422&lt;&gt;"OK","",(G422+H422)/2)</f>
        <v/>
      </c>
      <c r="J422" s="16">
        <f>IF($F422&lt;&gt;"OK","",G422/HorasDia)</f>
        <v/>
      </c>
      <c r="K422" s="16">
        <f>IF($F422&lt;&gt;"OK","",I422/HorasDia)</f>
        <v/>
      </c>
      <c r="L422" s="16">
        <f>IF($F422&lt;&gt;"OK","",H422/HorasDia)</f>
        <v/>
      </c>
      <c r="M422" s="17">
        <f>IF($F422&lt;&gt;"OK","",IF(UPPER(TRIM($D422))="NO",INDEX(Cat_TMax,MATCH($C422,Cat_Nombre,0)),INDEX(Cat_TMin,MATCH($C422,Cat_Nombre,0))))</f>
        <v/>
      </c>
      <c r="N422" s="17">
        <f>IF($F422&lt;&gt;"OK","",INDEX(Cat_TMax,MATCH($C422,Cat_Nombre,0)))</f>
        <v/>
      </c>
      <c r="O422" s="18">
        <f>IF($F422&lt;&gt;"OK","",INDEX(Cat_POpus,MATCH($C422,Cat_Nombre,0)))</f>
        <v/>
      </c>
      <c r="P422" s="19">
        <f>IF($F422&lt;&gt;"OK","",M422/1000000*((1-O422)*UsdM_Sonnet+O422*UsdM_Opus))</f>
        <v/>
      </c>
      <c r="Q422" s="19">
        <f>IF($F422&lt;&gt;"OK","",N422/1000000*((1-O422)*UsdM_Sonnet+O422*UsdM_Opus))</f>
        <v/>
      </c>
      <c r="R422" s="19">
        <f>IF($F422&lt;&gt;"OK","",G422*TarifaHora)</f>
        <v/>
      </c>
      <c r="S422" s="19">
        <f>IF($F422&lt;&gt;"OK","",H422*TarifaHora)</f>
        <v/>
      </c>
      <c r="T422" s="10">
        <f>IF($F422&lt;&gt;"OK","",IF(COUNTIFS($A$2:$A422,$A422,$F$2:$F422,"OK")=1,MAX($T$1:$T421)+1,""))</f>
        <v/>
      </c>
    </row>
    <row r="423">
      <c r="A423" s="11" t="n"/>
      <c r="B423" s="11" t="n"/>
      <c r="C423" s="11" t="n"/>
      <c r="D423" s="11" t="n"/>
      <c r="E423" s="11" t="n"/>
      <c r="F423" s="10">
        <f>IF(AND($A423="",$B423="",$C423=""),"",IF($A423="","⚠ Falta hito",IF(ISNA(MATCH($C423,Cat_Nombre,0)),"⚠ Categoría inválida","OK")))</f>
        <v/>
      </c>
      <c r="G423" s="16">
        <f>IF($F423&lt;&gt;"OK","",IF(UPPER(TRIM($D423))="NO",INDEX(Cat_HMax,MATCH($C423,Cat_Nombre,0)),INDEX(Cat_HMin,MATCH($C423,Cat_Nombre,0))))</f>
        <v/>
      </c>
      <c r="H423" s="16">
        <f>IF($F423&lt;&gt;"OK","",INDEX(Cat_HMax,MATCH($C423,Cat_Nombre,0)))</f>
        <v/>
      </c>
      <c r="I423" s="16">
        <f>IF($F423&lt;&gt;"OK","",(G423+H423)/2)</f>
        <v/>
      </c>
      <c r="J423" s="16">
        <f>IF($F423&lt;&gt;"OK","",G423/HorasDia)</f>
        <v/>
      </c>
      <c r="K423" s="16">
        <f>IF($F423&lt;&gt;"OK","",I423/HorasDia)</f>
        <v/>
      </c>
      <c r="L423" s="16">
        <f>IF($F423&lt;&gt;"OK","",H423/HorasDia)</f>
        <v/>
      </c>
      <c r="M423" s="17">
        <f>IF($F423&lt;&gt;"OK","",IF(UPPER(TRIM($D423))="NO",INDEX(Cat_TMax,MATCH($C423,Cat_Nombre,0)),INDEX(Cat_TMin,MATCH($C423,Cat_Nombre,0))))</f>
        <v/>
      </c>
      <c r="N423" s="17">
        <f>IF($F423&lt;&gt;"OK","",INDEX(Cat_TMax,MATCH($C423,Cat_Nombre,0)))</f>
        <v/>
      </c>
      <c r="O423" s="18">
        <f>IF($F423&lt;&gt;"OK","",INDEX(Cat_POpus,MATCH($C423,Cat_Nombre,0)))</f>
        <v/>
      </c>
      <c r="P423" s="19">
        <f>IF($F423&lt;&gt;"OK","",M423/1000000*((1-O423)*UsdM_Sonnet+O423*UsdM_Opus))</f>
        <v/>
      </c>
      <c r="Q423" s="19">
        <f>IF($F423&lt;&gt;"OK","",N423/1000000*((1-O423)*UsdM_Sonnet+O423*UsdM_Opus))</f>
        <v/>
      </c>
      <c r="R423" s="19">
        <f>IF($F423&lt;&gt;"OK","",G423*TarifaHora)</f>
        <v/>
      </c>
      <c r="S423" s="19">
        <f>IF($F423&lt;&gt;"OK","",H423*TarifaHora)</f>
        <v/>
      </c>
      <c r="T423" s="10">
        <f>IF($F423&lt;&gt;"OK","",IF(COUNTIFS($A$2:$A423,$A423,$F$2:$F423,"OK")=1,MAX($T$1:$T422)+1,""))</f>
        <v/>
      </c>
    </row>
    <row r="424">
      <c r="A424" s="11" t="n"/>
      <c r="B424" s="11" t="n"/>
      <c r="C424" s="11" t="n"/>
      <c r="D424" s="11" t="n"/>
      <c r="E424" s="11" t="n"/>
      <c r="F424" s="10">
        <f>IF(AND($A424="",$B424="",$C424=""),"",IF($A424="","⚠ Falta hito",IF(ISNA(MATCH($C424,Cat_Nombre,0)),"⚠ Categoría inválida","OK")))</f>
        <v/>
      </c>
      <c r="G424" s="16">
        <f>IF($F424&lt;&gt;"OK","",IF(UPPER(TRIM($D424))="NO",INDEX(Cat_HMax,MATCH($C424,Cat_Nombre,0)),INDEX(Cat_HMin,MATCH($C424,Cat_Nombre,0))))</f>
        <v/>
      </c>
      <c r="H424" s="16">
        <f>IF($F424&lt;&gt;"OK","",INDEX(Cat_HMax,MATCH($C424,Cat_Nombre,0)))</f>
        <v/>
      </c>
      <c r="I424" s="16">
        <f>IF($F424&lt;&gt;"OK","",(G424+H424)/2)</f>
        <v/>
      </c>
      <c r="J424" s="16">
        <f>IF($F424&lt;&gt;"OK","",G424/HorasDia)</f>
        <v/>
      </c>
      <c r="K424" s="16">
        <f>IF($F424&lt;&gt;"OK","",I424/HorasDia)</f>
        <v/>
      </c>
      <c r="L424" s="16">
        <f>IF($F424&lt;&gt;"OK","",H424/HorasDia)</f>
        <v/>
      </c>
      <c r="M424" s="17">
        <f>IF($F424&lt;&gt;"OK","",IF(UPPER(TRIM($D424))="NO",INDEX(Cat_TMax,MATCH($C424,Cat_Nombre,0)),INDEX(Cat_TMin,MATCH($C424,Cat_Nombre,0))))</f>
        <v/>
      </c>
      <c r="N424" s="17">
        <f>IF($F424&lt;&gt;"OK","",INDEX(Cat_TMax,MATCH($C424,Cat_Nombre,0)))</f>
        <v/>
      </c>
      <c r="O424" s="18">
        <f>IF($F424&lt;&gt;"OK","",INDEX(Cat_POpus,MATCH($C424,Cat_Nombre,0)))</f>
        <v/>
      </c>
      <c r="P424" s="19">
        <f>IF($F424&lt;&gt;"OK","",M424/1000000*((1-O424)*UsdM_Sonnet+O424*UsdM_Opus))</f>
        <v/>
      </c>
      <c r="Q424" s="19">
        <f>IF($F424&lt;&gt;"OK","",N424/1000000*((1-O424)*UsdM_Sonnet+O424*UsdM_Opus))</f>
        <v/>
      </c>
      <c r="R424" s="19">
        <f>IF($F424&lt;&gt;"OK","",G424*TarifaHora)</f>
        <v/>
      </c>
      <c r="S424" s="19">
        <f>IF($F424&lt;&gt;"OK","",H424*TarifaHora)</f>
        <v/>
      </c>
      <c r="T424" s="10">
        <f>IF($F424&lt;&gt;"OK","",IF(COUNTIFS($A$2:$A424,$A424,$F$2:$F424,"OK")=1,MAX($T$1:$T423)+1,""))</f>
        <v/>
      </c>
    </row>
    <row r="425">
      <c r="A425" s="11" t="n"/>
      <c r="B425" s="11" t="n"/>
      <c r="C425" s="11" t="n"/>
      <c r="D425" s="11" t="n"/>
      <c r="E425" s="11" t="n"/>
      <c r="F425" s="10">
        <f>IF(AND($A425="",$B425="",$C425=""),"",IF($A425="","⚠ Falta hito",IF(ISNA(MATCH($C425,Cat_Nombre,0)),"⚠ Categoría inválida","OK")))</f>
        <v/>
      </c>
      <c r="G425" s="16">
        <f>IF($F425&lt;&gt;"OK","",IF(UPPER(TRIM($D425))="NO",INDEX(Cat_HMax,MATCH($C425,Cat_Nombre,0)),INDEX(Cat_HMin,MATCH($C425,Cat_Nombre,0))))</f>
        <v/>
      </c>
      <c r="H425" s="16">
        <f>IF($F425&lt;&gt;"OK","",INDEX(Cat_HMax,MATCH($C425,Cat_Nombre,0)))</f>
        <v/>
      </c>
      <c r="I425" s="16">
        <f>IF($F425&lt;&gt;"OK","",(G425+H425)/2)</f>
        <v/>
      </c>
      <c r="J425" s="16">
        <f>IF($F425&lt;&gt;"OK","",G425/HorasDia)</f>
        <v/>
      </c>
      <c r="K425" s="16">
        <f>IF($F425&lt;&gt;"OK","",I425/HorasDia)</f>
        <v/>
      </c>
      <c r="L425" s="16">
        <f>IF($F425&lt;&gt;"OK","",H425/HorasDia)</f>
        <v/>
      </c>
      <c r="M425" s="17">
        <f>IF($F425&lt;&gt;"OK","",IF(UPPER(TRIM($D425))="NO",INDEX(Cat_TMax,MATCH($C425,Cat_Nombre,0)),INDEX(Cat_TMin,MATCH($C425,Cat_Nombre,0))))</f>
        <v/>
      </c>
      <c r="N425" s="17">
        <f>IF($F425&lt;&gt;"OK","",INDEX(Cat_TMax,MATCH($C425,Cat_Nombre,0)))</f>
        <v/>
      </c>
      <c r="O425" s="18">
        <f>IF($F425&lt;&gt;"OK","",INDEX(Cat_POpus,MATCH($C425,Cat_Nombre,0)))</f>
        <v/>
      </c>
      <c r="P425" s="19">
        <f>IF($F425&lt;&gt;"OK","",M425/1000000*((1-O425)*UsdM_Sonnet+O425*UsdM_Opus))</f>
        <v/>
      </c>
      <c r="Q425" s="19">
        <f>IF($F425&lt;&gt;"OK","",N425/1000000*((1-O425)*UsdM_Sonnet+O425*UsdM_Opus))</f>
        <v/>
      </c>
      <c r="R425" s="19">
        <f>IF($F425&lt;&gt;"OK","",G425*TarifaHora)</f>
        <v/>
      </c>
      <c r="S425" s="19">
        <f>IF($F425&lt;&gt;"OK","",H425*TarifaHora)</f>
        <v/>
      </c>
      <c r="T425" s="10">
        <f>IF($F425&lt;&gt;"OK","",IF(COUNTIFS($A$2:$A425,$A425,$F$2:$F425,"OK")=1,MAX($T$1:$T424)+1,""))</f>
        <v/>
      </c>
    </row>
    <row r="426">
      <c r="A426" s="11" t="n"/>
      <c r="B426" s="11" t="n"/>
      <c r="C426" s="11" t="n"/>
      <c r="D426" s="11" t="n"/>
      <c r="E426" s="11" t="n"/>
      <c r="F426" s="10">
        <f>IF(AND($A426="",$B426="",$C426=""),"",IF($A426="","⚠ Falta hito",IF(ISNA(MATCH($C426,Cat_Nombre,0)),"⚠ Categoría inválida","OK")))</f>
        <v/>
      </c>
      <c r="G426" s="16">
        <f>IF($F426&lt;&gt;"OK","",IF(UPPER(TRIM($D426))="NO",INDEX(Cat_HMax,MATCH($C426,Cat_Nombre,0)),INDEX(Cat_HMin,MATCH($C426,Cat_Nombre,0))))</f>
        <v/>
      </c>
      <c r="H426" s="16">
        <f>IF($F426&lt;&gt;"OK","",INDEX(Cat_HMax,MATCH($C426,Cat_Nombre,0)))</f>
        <v/>
      </c>
      <c r="I426" s="16">
        <f>IF($F426&lt;&gt;"OK","",(G426+H426)/2)</f>
        <v/>
      </c>
      <c r="J426" s="16">
        <f>IF($F426&lt;&gt;"OK","",G426/HorasDia)</f>
        <v/>
      </c>
      <c r="K426" s="16">
        <f>IF($F426&lt;&gt;"OK","",I426/HorasDia)</f>
        <v/>
      </c>
      <c r="L426" s="16">
        <f>IF($F426&lt;&gt;"OK","",H426/HorasDia)</f>
        <v/>
      </c>
      <c r="M426" s="17">
        <f>IF($F426&lt;&gt;"OK","",IF(UPPER(TRIM($D426))="NO",INDEX(Cat_TMax,MATCH($C426,Cat_Nombre,0)),INDEX(Cat_TMin,MATCH($C426,Cat_Nombre,0))))</f>
        <v/>
      </c>
      <c r="N426" s="17">
        <f>IF($F426&lt;&gt;"OK","",INDEX(Cat_TMax,MATCH($C426,Cat_Nombre,0)))</f>
        <v/>
      </c>
      <c r="O426" s="18">
        <f>IF($F426&lt;&gt;"OK","",INDEX(Cat_POpus,MATCH($C426,Cat_Nombre,0)))</f>
        <v/>
      </c>
      <c r="P426" s="19">
        <f>IF($F426&lt;&gt;"OK","",M426/1000000*((1-O426)*UsdM_Sonnet+O426*UsdM_Opus))</f>
        <v/>
      </c>
      <c r="Q426" s="19">
        <f>IF($F426&lt;&gt;"OK","",N426/1000000*((1-O426)*UsdM_Sonnet+O426*UsdM_Opus))</f>
        <v/>
      </c>
      <c r="R426" s="19">
        <f>IF($F426&lt;&gt;"OK","",G426*TarifaHora)</f>
        <v/>
      </c>
      <c r="S426" s="19">
        <f>IF($F426&lt;&gt;"OK","",H426*TarifaHora)</f>
        <v/>
      </c>
      <c r="T426" s="10">
        <f>IF($F426&lt;&gt;"OK","",IF(COUNTIFS($A$2:$A426,$A426,$F$2:$F426,"OK")=1,MAX($T$1:$T425)+1,""))</f>
        <v/>
      </c>
    </row>
    <row r="427">
      <c r="A427" s="11" t="n"/>
      <c r="B427" s="11" t="n"/>
      <c r="C427" s="11" t="n"/>
      <c r="D427" s="11" t="n"/>
      <c r="E427" s="11" t="n"/>
      <c r="F427" s="10">
        <f>IF(AND($A427="",$B427="",$C427=""),"",IF($A427="","⚠ Falta hito",IF(ISNA(MATCH($C427,Cat_Nombre,0)),"⚠ Categoría inválida","OK")))</f>
        <v/>
      </c>
      <c r="G427" s="16">
        <f>IF($F427&lt;&gt;"OK","",IF(UPPER(TRIM($D427))="NO",INDEX(Cat_HMax,MATCH($C427,Cat_Nombre,0)),INDEX(Cat_HMin,MATCH($C427,Cat_Nombre,0))))</f>
        <v/>
      </c>
      <c r="H427" s="16">
        <f>IF($F427&lt;&gt;"OK","",INDEX(Cat_HMax,MATCH($C427,Cat_Nombre,0)))</f>
        <v/>
      </c>
      <c r="I427" s="16">
        <f>IF($F427&lt;&gt;"OK","",(G427+H427)/2)</f>
        <v/>
      </c>
      <c r="J427" s="16">
        <f>IF($F427&lt;&gt;"OK","",G427/HorasDia)</f>
        <v/>
      </c>
      <c r="K427" s="16">
        <f>IF($F427&lt;&gt;"OK","",I427/HorasDia)</f>
        <v/>
      </c>
      <c r="L427" s="16">
        <f>IF($F427&lt;&gt;"OK","",H427/HorasDia)</f>
        <v/>
      </c>
      <c r="M427" s="17">
        <f>IF($F427&lt;&gt;"OK","",IF(UPPER(TRIM($D427))="NO",INDEX(Cat_TMax,MATCH($C427,Cat_Nombre,0)),INDEX(Cat_TMin,MATCH($C427,Cat_Nombre,0))))</f>
        <v/>
      </c>
      <c r="N427" s="17">
        <f>IF($F427&lt;&gt;"OK","",INDEX(Cat_TMax,MATCH($C427,Cat_Nombre,0)))</f>
        <v/>
      </c>
      <c r="O427" s="18">
        <f>IF($F427&lt;&gt;"OK","",INDEX(Cat_POpus,MATCH($C427,Cat_Nombre,0)))</f>
        <v/>
      </c>
      <c r="P427" s="19">
        <f>IF($F427&lt;&gt;"OK","",M427/1000000*((1-O427)*UsdM_Sonnet+O427*UsdM_Opus))</f>
        <v/>
      </c>
      <c r="Q427" s="19">
        <f>IF($F427&lt;&gt;"OK","",N427/1000000*((1-O427)*UsdM_Sonnet+O427*UsdM_Opus))</f>
        <v/>
      </c>
      <c r="R427" s="19">
        <f>IF($F427&lt;&gt;"OK","",G427*TarifaHora)</f>
        <v/>
      </c>
      <c r="S427" s="19">
        <f>IF($F427&lt;&gt;"OK","",H427*TarifaHora)</f>
        <v/>
      </c>
      <c r="T427" s="10">
        <f>IF($F427&lt;&gt;"OK","",IF(COUNTIFS($A$2:$A427,$A427,$F$2:$F427,"OK")=1,MAX($T$1:$T426)+1,""))</f>
        <v/>
      </c>
    </row>
    <row r="428">
      <c r="A428" s="11" t="n"/>
      <c r="B428" s="11" t="n"/>
      <c r="C428" s="11" t="n"/>
      <c r="D428" s="11" t="n"/>
      <c r="E428" s="11" t="n"/>
      <c r="F428" s="10">
        <f>IF(AND($A428="",$B428="",$C428=""),"",IF($A428="","⚠ Falta hito",IF(ISNA(MATCH($C428,Cat_Nombre,0)),"⚠ Categoría inválida","OK")))</f>
        <v/>
      </c>
      <c r="G428" s="16">
        <f>IF($F428&lt;&gt;"OK","",IF(UPPER(TRIM($D428))="NO",INDEX(Cat_HMax,MATCH($C428,Cat_Nombre,0)),INDEX(Cat_HMin,MATCH($C428,Cat_Nombre,0))))</f>
        <v/>
      </c>
      <c r="H428" s="16">
        <f>IF($F428&lt;&gt;"OK","",INDEX(Cat_HMax,MATCH($C428,Cat_Nombre,0)))</f>
        <v/>
      </c>
      <c r="I428" s="16">
        <f>IF($F428&lt;&gt;"OK","",(G428+H428)/2)</f>
        <v/>
      </c>
      <c r="J428" s="16">
        <f>IF($F428&lt;&gt;"OK","",G428/HorasDia)</f>
        <v/>
      </c>
      <c r="K428" s="16">
        <f>IF($F428&lt;&gt;"OK","",I428/HorasDia)</f>
        <v/>
      </c>
      <c r="L428" s="16">
        <f>IF($F428&lt;&gt;"OK","",H428/HorasDia)</f>
        <v/>
      </c>
      <c r="M428" s="17">
        <f>IF($F428&lt;&gt;"OK","",IF(UPPER(TRIM($D428))="NO",INDEX(Cat_TMax,MATCH($C428,Cat_Nombre,0)),INDEX(Cat_TMin,MATCH($C428,Cat_Nombre,0))))</f>
        <v/>
      </c>
      <c r="N428" s="17">
        <f>IF($F428&lt;&gt;"OK","",INDEX(Cat_TMax,MATCH($C428,Cat_Nombre,0)))</f>
        <v/>
      </c>
      <c r="O428" s="18">
        <f>IF($F428&lt;&gt;"OK","",INDEX(Cat_POpus,MATCH($C428,Cat_Nombre,0)))</f>
        <v/>
      </c>
      <c r="P428" s="19">
        <f>IF($F428&lt;&gt;"OK","",M428/1000000*((1-O428)*UsdM_Sonnet+O428*UsdM_Opus))</f>
        <v/>
      </c>
      <c r="Q428" s="19">
        <f>IF($F428&lt;&gt;"OK","",N428/1000000*((1-O428)*UsdM_Sonnet+O428*UsdM_Opus))</f>
        <v/>
      </c>
      <c r="R428" s="19">
        <f>IF($F428&lt;&gt;"OK","",G428*TarifaHora)</f>
        <v/>
      </c>
      <c r="S428" s="19">
        <f>IF($F428&lt;&gt;"OK","",H428*TarifaHora)</f>
        <v/>
      </c>
      <c r="T428" s="10">
        <f>IF($F428&lt;&gt;"OK","",IF(COUNTIFS($A$2:$A428,$A428,$F$2:$F428,"OK")=1,MAX($T$1:$T427)+1,""))</f>
        <v/>
      </c>
    </row>
    <row r="429">
      <c r="A429" s="11" t="n"/>
      <c r="B429" s="11" t="n"/>
      <c r="C429" s="11" t="n"/>
      <c r="D429" s="11" t="n"/>
      <c r="E429" s="11" t="n"/>
      <c r="F429" s="10">
        <f>IF(AND($A429="",$B429="",$C429=""),"",IF($A429="","⚠ Falta hito",IF(ISNA(MATCH($C429,Cat_Nombre,0)),"⚠ Categoría inválida","OK")))</f>
        <v/>
      </c>
      <c r="G429" s="16">
        <f>IF($F429&lt;&gt;"OK","",IF(UPPER(TRIM($D429))="NO",INDEX(Cat_HMax,MATCH($C429,Cat_Nombre,0)),INDEX(Cat_HMin,MATCH($C429,Cat_Nombre,0))))</f>
        <v/>
      </c>
      <c r="H429" s="16">
        <f>IF($F429&lt;&gt;"OK","",INDEX(Cat_HMax,MATCH($C429,Cat_Nombre,0)))</f>
        <v/>
      </c>
      <c r="I429" s="16">
        <f>IF($F429&lt;&gt;"OK","",(G429+H429)/2)</f>
        <v/>
      </c>
      <c r="J429" s="16">
        <f>IF($F429&lt;&gt;"OK","",G429/HorasDia)</f>
        <v/>
      </c>
      <c r="K429" s="16">
        <f>IF($F429&lt;&gt;"OK","",I429/HorasDia)</f>
        <v/>
      </c>
      <c r="L429" s="16">
        <f>IF($F429&lt;&gt;"OK","",H429/HorasDia)</f>
        <v/>
      </c>
      <c r="M429" s="17">
        <f>IF($F429&lt;&gt;"OK","",IF(UPPER(TRIM($D429))="NO",INDEX(Cat_TMax,MATCH($C429,Cat_Nombre,0)),INDEX(Cat_TMin,MATCH($C429,Cat_Nombre,0))))</f>
        <v/>
      </c>
      <c r="N429" s="17">
        <f>IF($F429&lt;&gt;"OK","",INDEX(Cat_TMax,MATCH($C429,Cat_Nombre,0)))</f>
        <v/>
      </c>
      <c r="O429" s="18">
        <f>IF($F429&lt;&gt;"OK","",INDEX(Cat_POpus,MATCH($C429,Cat_Nombre,0)))</f>
        <v/>
      </c>
      <c r="P429" s="19">
        <f>IF($F429&lt;&gt;"OK","",M429/1000000*((1-O429)*UsdM_Sonnet+O429*UsdM_Opus))</f>
        <v/>
      </c>
      <c r="Q429" s="19">
        <f>IF($F429&lt;&gt;"OK","",N429/1000000*((1-O429)*UsdM_Sonnet+O429*UsdM_Opus))</f>
        <v/>
      </c>
      <c r="R429" s="19">
        <f>IF($F429&lt;&gt;"OK","",G429*TarifaHora)</f>
        <v/>
      </c>
      <c r="S429" s="19">
        <f>IF($F429&lt;&gt;"OK","",H429*TarifaHora)</f>
        <v/>
      </c>
      <c r="T429" s="10">
        <f>IF($F429&lt;&gt;"OK","",IF(COUNTIFS($A$2:$A429,$A429,$F$2:$F429,"OK")=1,MAX($T$1:$T428)+1,""))</f>
        <v/>
      </c>
    </row>
    <row r="430">
      <c r="A430" s="11" t="n"/>
      <c r="B430" s="11" t="n"/>
      <c r="C430" s="11" t="n"/>
      <c r="D430" s="11" t="n"/>
      <c r="E430" s="11" t="n"/>
      <c r="F430" s="10">
        <f>IF(AND($A430="",$B430="",$C430=""),"",IF($A430="","⚠ Falta hito",IF(ISNA(MATCH($C430,Cat_Nombre,0)),"⚠ Categoría inválida","OK")))</f>
        <v/>
      </c>
      <c r="G430" s="16">
        <f>IF($F430&lt;&gt;"OK","",IF(UPPER(TRIM($D430))="NO",INDEX(Cat_HMax,MATCH($C430,Cat_Nombre,0)),INDEX(Cat_HMin,MATCH($C430,Cat_Nombre,0))))</f>
        <v/>
      </c>
      <c r="H430" s="16">
        <f>IF($F430&lt;&gt;"OK","",INDEX(Cat_HMax,MATCH($C430,Cat_Nombre,0)))</f>
        <v/>
      </c>
      <c r="I430" s="16">
        <f>IF($F430&lt;&gt;"OK","",(G430+H430)/2)</f>
        <v/>
      </c>
      <c r="J430" s="16">
        <f>IF($F430&lt;&gt;"OK","",G430/HorasDia)</f>
        <v/>
      </c>
      <c r="K430" s="16">
        <f>IF($F430&lt;&gt;"OK","",I430/HorasDia)</f>
        <v/>
      </c>
      <c r="L430" s="16">
        <f>IF($F430&lt;&gt;"OK","",H430/HorasDia)</f>
        <v/>
      </c>
      <c r="M430" s="17">
        <f>IF($F430&lt;&gt;"OK","",IF(UPPER(TRIM($D430))="NO",INDEX(Cat_TMax,MATCH($C430,Cat_Nombre,0)),INDEX(Cat_TMin,MATCH($C430,Cat_Nombre,0))))</f>
        <v/>
      </c>
      <c r="N430" s="17">
        <f>IF($F430&lt;&gt;"OK","",INDEX(Cat_TMax,MATCH($C430,Cat_Nombre,0)))</f>
        <v/>
      </c>
      <c r="O430" s="18">
        <f>IF($F430&lt;&gt;"OK","",INDEX(Cat_POpus,MATCH($C430,Cat_Nombre,0)))</f>
        <v/>
      </c>
      <c r="P430" s="19">
        <f>IF($F430&lt;&gt;"OK","",M430/1000000*((1-O430)*UsdM_Sonnet+O430*UsdM_Opus))</f>
        <v/>
      </c>
      <c r="Q430" s="19">
        <f>IF($F430&lt;&gt;"OK","",N430/1000000*((1-O430)*UsdM_Sonnet+O430*UsdM_Opus))</f>
        <v/>
      </c>
      <c r="R430" s="19">
        <f>IF($F430&lt;&gt;"OK","",G430*TarifaHora)</f>
        <v/>
      </c>
      <c r="S430" s="19">
        <f>IF($F430&lt;&gt;"OK","",H430*TarifaHora)</f>
        <v/>
      </c>
      <c r="T430" s="10">
        <f>IF($F430&lt;&gt;"OK","",IF(COUNTIFS($A$2:$A430,$A430,$F$2:$F430,"OK")=1,MAX($T$1:$T429)+1,""))</f>
        <v/>
      </c>
    </row>
    <row r="431">
      <c r="A431" s="11" t="n"/>
      <c r="B431" s="11" t="n"/>
      <c r="C431" s="11" t="n"/>
      <c r="D431" s="11" t="n"/>
      <c r="E431" s="11" t="n"/>
      <c r="F431" s="10">
        <f>IF(AND($A431="",$B431="",$C431=""),"",IF($A431="","⚠ Falta hito",IF(ISNA(MATCH($C431,Cat_Nombre,0)),"⚠ Categoría inválida","OK")))</f>
        <v/>
      </c>
      <c r="G431" s="16">
        <f>IF($F431&lt;&gt;"OK","",IF(UPPER(TRIM($D431))="NO",INDEX(Cat_HMax,MATCH($C431,Cat_Nombre,0)),INDEX(Cat_HMin,MATCH($C431,Cat_Nombre,0))))</f>
        <v/>
      </c>
      <c r="H431" s="16">
        <f>IF($F431&lt;&gt;"OK","",INDEX(Cat_HMax,MATCH($C431,Cat_Nombre,0)))</f>
        <v/>
      </c>
      <c r="I431" s="16">
        <f>IF($F431&lt;&gt;"OK","",(G431+H431)/2)</f>
        <v/>
      </c>
      <c r="J431" s="16">
        <f>IF($F431&lt;&gt;"OK","",G431/HorasDia)</f>
        <v/>
      </c>
      <c r="K431" s="16">
        <f>IF($F431&lt;&gt;"OK","",I431/HorasDia)</f>
        <v/>
      </c>
      <c r="L431" s="16">
        <f>IF($F431&lt;&gt;"OK","",H431/HorasDia)</f>
        <v/>
      </c>
      <c r="M431" s="17">
        <f>IF($F431&lt;&gt;"OK","",IF(UPPER(TRIM($D431))="NO",INDEX(Cat_TMax,MATCH($C431,Cat_Nombre,0)),INDEX(Cat_TMin,MATCH($C431,Cat_Nombre,0))))</f>
        <v/>
      </c>
      <c r="N431" s="17">
        <f>IF($F431&lt;&gt;"OK","",INDEX(Cat_TMax,MATCH($C431,Cat_Nombre,0)))</f>
        <v/>
      </c>
      <c r="O431" s="18">
        <f>IF($F431&lt;&gt;"OK","",INDEX(Cat_POpus,MATCH($C431,Cat_Nombre,0)))</f>
        <v/>
      </c>
      <c r="P431" s="19">
        <f>IF($F431&lt;&gt;"OK","",M431/1000000*((1-O431)*UsdM_Sonnet+O431*UsdM_Opus))</f>
        <v/>
      </c>
      <c r="Q431" s="19">
        <f>IF($F431&lt;&gt;"OK","",N431/1000000*((1-O431)*UsdM_Sonnet+O431*UsdM_Opus))</f>
        <v/>
      </c>
      <c r="R431" s="19">
        <f>IF($F431&lt;&gt;"OK","",G431*TarifaHora)</f>
        <v/>
      </c>
      <c r="S431" s="19">
        <f>IF($F431&lt;&gt;"OK","",H431*TarifaHora)</f>
        <v/>
      </c>
      <c r="T431" s="10">
        <f>IF($F431&lt;&gt;"OK","",IF(COUNTIFS($A$2:$A431,$A431,$F$2:$F431,"OK")=1,MAX($T$1:$T430)+1,""))</f>
        <v/>
      </c>
    </row>
    <row r="432">
      <c r="A432" s="11" t="n"/>
      <c r="B432" s="11" t="n"/>
      <c r="C432" s="11" t="n"/>
      <c r="D432" s="11" t="n"/>
      <c r="E432" s="11" t="n"/>
      <c r="F432" s="10">
        <f>IF(AND($A432="",$B432="",$C432=""),"",IF($A432="","⚠ Falta hito",IF(ISNA(MATCH($C432,Cat_Nombre,0)),"⚠ Categoría inválida","OK")))</f>
        <v/>
      </c>
      <c r="G432" s="16">
        <f>IF($F432&lt;&gt;"OK","",IF(UPPER(TRIM($D432))="NO",INDEX(Cat_HMax,MATCH($C432,Cat_Nombre,0)),INDEX(Cat_HMin,MATCH($C432,Cat_Nombre,0))))</f>
        <v/>
      </c>
      <c r="H432" s="16">
        <f>IF($F432&lt;&gt;"OK","",INDEX(Cat_HMax,MATCH($C432,Cat_Nombre,0)))</f>
        <v/>
      </c>
      <c r="I432" s="16">
        <f>IF($F432&lt;&gt;"OK","",(G432+H432)/2)</f>
        <v/>
      </c>
      <c r="J432" s="16">
        <f>IF($F432&lt;&gt;"OK","",G432/HorasDia)</f>
        <v/>
      </c>
      <c r="K432" s="16">
        <f>IF($F432&lt;&gt;"OK","",I432/HorasDia)</f>
        <v/>
      </c>
      <c r="L432" s="16">
        <f>IF($F432&lt;&gt;"OK","",H432/HorasDia)</f>
        <v/>
      </c>
      <c r="M432" s="17">
        <f>IF($F432&lt;&gt;"OK","",IF(UPPER(TRIM($D432))="NO",INDEX(Cat_TMax,MATCH($C432,Cat_Nombre,0)),INDEX(Cat_TMin,MATCH($C432,Cat_Nombre,0))))</f>
        <v/>
      </c>
      <c r="N432" s="17">
        <f>IF($F432&lt;&gt;"OK","",INDEX(Cat_TMax,MATCH($C432,Cat_Nombre,0)))</f>
        <v/>
      </c>
      <c r="O432" s="18">
        <f>IF($F432&lt;&gt;"OK","",INDEX(Cat_POpus,MATCH($C432,Cat_Nombre,0)))</f>
        <v/>
      </c>
      <c r="P432" s="19">
        <f>IF($F432&lt;&gt;"OK","",M432/1000000*((1-O432)*UsdM_Sonnet+O432*UsdM_Opus))</f>
        <v/>
      </c>
      <c r="Q432" s="19">
        <f>IF($F432&lt;&gt;"OK","",N432/1000000*((1-O432)*UsdM_Sonnet+O432*UsdM_Opus))</f>
        <v/>
      </c>
      <c r="R432" s="19">
        <f>IF($F432&lt;&gt;"OK","",G432*TarifaHora)</f>
        <v/>
      </c>
      <c r="S432" s="19">
        <f>IF($F432&lt;&gt;"OK","",H432*TarifaHora)</f>
        <v/>
      </c>
      <c r="T432" s="10">
        <f>IF($F432&lt;&gt;"OK","",IF(COUNTIFS($A$2:$A432,$A432,$F$2:$F432,"OK")=1,MAX($T$1:$T431)+1,""))</f>
        <v/>
      </c>
    </row>
    <row r="433">
      <c r="A433" s="11" t="n"/>
      <c r="B433" s="11" t="n"/>
      <c r="C433" s="11" t="n"/>
      <c r="D433" s="11" t="n"/>
      <c r="E433" s="11" t="n"/>
      <c r="F433" s="10">
        <f>IF(AND($A433="",$B433="",$C433=""),"",IF($A433="","⚠ Falta hito",IF(ISNA(MATCH($C433,Cat_Nombre,0)),"⚠ Categoría inválida","OK")))</f>
        <v/>
      </c>
      <c r="G433" s="16">
        <f>IF($F433&lt;&gt;"OK","",IF(UPPER(TRIM($D433))="NO",INDEX(Cat_HMax,MATCH($C433,Cat_Nombre,0)),INDEX(Cat_HMin,MATCH($C433,Cat_Nombre,0))))</f>
        <v/>
      </c>
      <c r="H433" s="16">
        <f>IF($F433&lt;&gt;"OK","",INDEX(Cat_HMax,MATCH($C433,Cat_Nombre,0)))</f>
        <v/>
      </c>
      <c r="I433" s="16">
        <f>IF($F433&lt;&gt;"OK","",(G433+H433)/2)</f>
        <v/>
      </c>
      <c r="J433" s="16">
        <f>IF($F433&lt;&gt;"OK","",G433/HorasDia)</f>
        <v/>
      </c>
      <c r="K433" s="16">
        <f>IF($F433&lt;&gt;"OK","",I433/HorasDia)</f>
        <v/>
      </c>
      <c r="L433" s="16">
        <f>IF($F433&lt;&gt;"OK","",H433/HorasDia)</f>
        <v/>
      </c>
      <c r="M433" s="17">
        <f>IF($F433&lt;&gt;"OK","",IF(UPPER(TRIM($D433))="NO",INDEX(Cat_TMax,MATCH($C433,Cat_Nombre,0)),INDEX(Cat_TMin,MATCH($C433,Cat_Nombre,0))))</f>
        <v/>
      </c>
      <c r="N433" s="17">
        <f>IF($F433&lt;&gt;"OK","",INDEX(Cat_TMax,MATCH($C433,Cat_Nombre,0)))</f>
        <v/>
      </c>
      <c r="O433" s="18">
        <f>IF($F433&lt;&gt;"OK","",INDEX(Cat_POpus,MATCH($C433,Cat_Nombre,0)))</f>
        <v/>
      </c>
      <c r="P433" s="19">
        <f>IF($F433&lt;&gt;"OK","",M433/1000000*((1-O433)*UsdM_Sonnet+O433*UsdM_Opus))</f>
        <v/>
      </c>
      <c r="Q433" s="19">
        <f>IF($F433&lt;&gt;"OK","",N433/1000000*((1-O433)*UsdM_Sonnet+O433*UsdM_Opus))</f>
        <v/>
      </c>
      <c r="R433" s="19">
        <f>IF($F433&lt;&gt;"OK","",G433*TarifaHora)</f>
        <v/>
      </c>
      <c r="S433" s="19">
        <f>IF($F433&lt;&gt;"OK","",H433*TarifaHora)</f>
        <v/>
      </c>
      <c r="T433" s="10">
        <f>IF($F433&lt;&gt;"OK","",IF(COUNTIFS($A$2:$A433,$A433,$F$2:$F433,"OK")=1,MAX($T$1:$T432)+1,""))</f>
        <v/>
      </c>
    </row>
    <row r="434">
      <c r="A434" s="11" t="n"/>
      <c r="B434" s="11" t="n"/>
      <c r="C434" s="11" t="n"/>
      <c r="D434" s="11" t="n"/>
      <c r="E434" s="11" t="n"/>
      <c r="F434" s="10">
        <f>IF(AND($A434="",$B434="",$C434=""),"",IF($A434="","⚠ Falta hito",IF(ISNA(MATCH($C434,Cat_Nombre,0)),"⚠ Categoría inválida","OK")))</f>
        <v/>
      </c>
      <c r="G434" s="16">
        <f>IF($F434&lt;&gt;"OK","",IF(UPPER(TRIM($D434))="NO",INDEX(Cat_HMax,MATCH($C434,Cat_Nombre,0)),INDEX(Cat_HMin,MATCH($C434,Cat_Nombre,0))))</f>
        <v/>
      </c>
      <c r="H434" s="16">
        <f>IF($F434&lt;&gt;"OK","",INDEX(Cat_HMax,MATCH($C434,Cat_Nombre,0)))</f>
        <v/>
      </c>
      <c r="I434" s="16">
        <f>IF($F434&lt;&gt;"OK","",(G434+H434)/2)</f>
        <v/>
      </c>
      <c r="J434" s="16">
        <f>IF($F434&lt;&gt;"OK","",G434/HorasDia)</f>
        <v/>
      </c>
      <c r="K434" s="16">
        <f>IF($F434&lt;&gt;"OK","",I434/HorasDia)</f>
        <v/>
      </c>
      <c r="L434" s="16">
        <f>IF($F434&lt;&gt;"OK","",H434/HorasDia)</f>
        <v/>
      </c>
      <c r="M434" s="17">
        <f>IF($F434&lt;&gt;"OK","",IF(UPPER(TRIM($D434))="NO",INDEX(Cat_TMax,MATCH($C434,Cat_Nombre,0)),INDEX(Cat_TMin,MATCH($C434,Cat_Nombre,0))))</f>
        <v/>
      </c>
      <c r="N434" s="17">
        <f>IF($F434&lt;&gt;"OK","",INDEX(Cat_TMax,MATCH($C434,Cat_Nombre,0)))</f>
        <v/>
      </c>
      <c r="O434" s="18">
        <f>IF($F434&lt;&gt;"OK","",INDEX(Cat_POpus,MATCH($C434,Cat_Nombre,0)))</f>
        <v/>
      </c>
      <c r="P434" s="19">
        <f>IF($F434&lt;&gt;"OK","",M434/1000000*((1-O434)*UsdM_Sonnet+O434*UsdM_Opus))</f>
        <v/>
      </c>
      <c r="Q434" s="19">
        <f>IF($F434&lt;&gt;"OK","",N434/1000000*((1-O434)*UsdM_Sonnet+O434*UsdM_Opus))</f>
        <v/>
      </c>
      <c r="R434" s="19">
        <f>IF($F434&lt;&gt;"OK","",G434*TarifaHora)</f>
        <v/>
      </c>
      <c r="S434" s="19">
        <f>IF($F434&lt;&gt;"OK","",H434*TarifaHora)</f>
        <v/>
      </c>
      <c r="T434" s="10">
        <f>IF($F434&lt;&gt;"OK","",IF(COUNTIFS($A$2:$A434,$A434,$F$2:$F434,"OK")=1,MAX($T$1:$T433)+1,""))</f>
        <v/>
      </c>
    </row>
    <row r="435">
      <c r="A435" s="11" t="n"/>
      <c r="B435" s="11" t="n"/>
      <c r="C435" s="11" t="n"/>
      <c r="D435" s="11" t="n"/>
      <c r="E435" s="11" t="n"/>
      <c r="F435" s="10">
        <f>IF(AND($A435="",$B435="",$C435=""),"",IF($A435="","⚠ Falta hito",IF(ISNA(MATCH($C435,Cat_Nombre,0)),"⚠ Categoría inválida","OK")))</f>
        <v/>
      </c>
      <c r="G435" s="16">
        <f>IF($F435&lt;&gt;"OK","",IF(UPPER(TRIM($D435))="NO",INDEX(Cat_HMax,MATCH($C435,Cat_Nombre,0)),INDEX(Cat_HMin,MATCH($C435,Cat_Nombre,0))))</f>
        <v/>
      </c>
      <c r="H435" s="16">
        <f>IF($F435&lt;&gt;"OK","",INDEX(Cat_HMax,MATCH($C435,Cat_Nombre,0)))</f>
        <v/>
      </c>
      <c r="I435" s="16">
        <f>IF($F435&lt;&gt;"OK","",(G435+H435)/2)</f>
        <v/>
      </c>
      <c r="J435" s="16">
        <f>IF($F435&lt;&gt;"OK","",G435/HorasDia)</f>
        <v/>
      </c>
      <c r="K435" s="16">
        <f>IF($F435&lt;&gt;"OK","",I435/HorasDia)</f>
        <v/>
      </c>
      <c r="L435" s="16">
        <f>IF($F435&lt;&gt;"OK","",H435/HorasDia)</f>
        <v/>
      </c>
      <c r="M435" s="17">
        <f>IF($F435&lt;&gt;"OK","",IF(UPPER(TRIM($D435))="NO",INDEX(Cat_TMax,MATCH($C435,Cat_Nombre,0)),INDEX(Cat_TMin,MATCH($C435,Cat_Nombre,0))))</f>
        <v/>
      </c>
      <c r="N435" s="17">
        <f>IF($F435&lt;&gt;"OK","",INDEX(Cat_TMax,MATCH($C435,Cat_Nombre,0)))</f>
        <v/>
      </c>
      <c r="O435" s="18">
        <f>IF($F435&lt;&gt;"OK","",INDEX(Cat_POpus,MATCH($C435,Cat_Nombre,0)))</f>
        <v/>
      </c>
      <c r="P435" s="19">
        <f>IF($F435&lt;&gt;"OK","",M435/1000000*((1-O435)*UsdM_Sonnet+O435*UsdM_Opus))</f>
        <v/>
      </c>
      <c r="Q435" s="19">
        <f>IF($F435&lt;&gt;"OK","",N435/1000000*((1-O435)*UsdM_Sonnet+O435*UsdM_Opus))</f>
        <v/>
      </c>
      <c r="R435" s="19">
        <f>IF($F435&lt;&gt;"OK","",G435*TarifaHora)</f>
        <v/>
      </c>
      <c r="S435" s="19">
        <f>IF($F435&lt;&gt;"OK","",H435*TarifaHora)</f>
        <v/>
      </c>
      <c r="T435" s="10">
        <f>IF($F435&lt;&gt;"OK","",IF(COUNTIFS($A$2:$A435,$A435,$F$2:$F435,"OK")=1,MAX($T$1:$T434)+1,""))</f>
        <v/>
      </c>
    </row>
    <row r="436">
      <c r="A436" s="11" t="n"/>
      <c r="B436" s="11" t="n"/>
      <c r="C436" s="11" t="n"/>
      <c r="D436" s="11" t="n"/>
      <c r="E436" s="11" t="n"/>
      <c r="F436" s="10">
        <f>IF(AND($A436="",$B436="",$C436=""),"",IF($A436="","⚠ Falta hito",IF(ISNA(MATCH($C436,Cat_Nombre,0)),"⚠ Categoría inválida","OK")))</f>
        <v/>
      </c>
      <c r="G436" s="16">
        <f>IF($F436&lt;&gt;"OK","",IF(UPPER(TRIM($D436))="NO",INDEX(Cat_HMax,MATCH($C436,Cat_Nombre,0)),INDEX(Cat_HMin,MATCH($C436,Cat_Nombre,0))))</f>
        <v/>
      </c>
      <c r="H436" s="16">
        <f>IF($F436&lt;&gt;"OK","",INDEX(Cat_HMax,MATCH($C436,Cat_Nombre,0)))</f>
        <v/>
      </c>
      <c r="I436" s="16">
        <f>IF($F436&lt;&gt;"OK","",(G436+H436)/2)</f>
        <v/>
      </c>
      <c r="J436" s="16">
        <f>IF($F436&lt;&gt;"OK","",G436/HorasDia)</f>
        <v/>
      </c>
      <c r="K436" s="16">
        <f>IF($F436&lt;&gt;"OK","",I436/HorasDia)</f>
        <v/>
      </c>
      <c r="L436" s="16">
        <f>IF($F436&lt;&gt;"OK","",H436/HorasDia)</f>
        <v/>
      </c>
      <c r="M436" s="17">
        <f>IF($F436&lt;&gt;"OK","",IF(UPPER(TRIM($D436))="NO",INDEX(Cat_TMax,MATCH($C436,Cat_Nombre,0)),INDEX(Cat_TMin,MATCH($C436,Cat_Nombre,0))))</f>
        <v/>
      </c>
      <c r="N436" s="17">
        <f>IF($F436&lt;&gt;"OK","",INDEX(Cat_TMax,MATCH($C436,Cat_Nombre,0)))</f>
        <v/>
      </c>
      <c r="O436" s="18">
        <f>IF($F436&lt;&gt;"OK","",INDEX(Cat_POpus,MATCH($C436,Cat_Nombre,0)))</f>
        <v/>
      </c>
      <c r="P436" s="19">
        <f>IF($F436&lt;&gt;"OK","",M436/1000000*((1-O436)*UsdM_Sonnet+O436*UsdM_Opus))</f>
        <v/>
      </c>
      <c r="Q436" s="19">
        <f>IF($F436&lt;&gt;"OK","",N436/1000000*((1-O436)*UsdM_Sonnet+O436*UsdM_Opus))</f>
        <v/>
      </c>
      <c r="R436" s="19">
        <f>IF($F436&lt;&gt;"OK","",G436*TarifaHora)</f>
        <v/>
      </c>
      <c r="S436" s="19">
        <f>IF($F436&lt;&gt;"OK","",H436*TarifaHora)</f>
        <v/>
      </c>
      <c r="T436" s="10">
        <f>IF($F436&lt;&gt;"OK","",IF(COUNTIFS($A$2:$A436,$A436,$F$2:$F436,"OK")=1,MAX($T$1:$T435)+1,""))</f>
        <v/>
      </c>
    </row>
    <row r="437">
      <c r="A437" s="11" t="n"/>
      <c r="B437" s="11" t="n"/>
      <c r="C437" s="11" t="n"/>
      <c r="D437" s="11" t="n"/>
      <c r="E437" s="11" t="n"/>
      <c r="F437" s="10">
        <f>IF(AND($A437="",$B437="",$C437=""),"",IF($A437="","⚠ Falta hito",IF(ISNA(MATCH($C437,Cat_Nombre,0)),"⚠ Categoría inválida","OK")))</f>
        <v/>
      </c>
      <c r="G437" s="16">
        <f>IF($F437&lt;&gt;"OK","",IF(UPPER(TRIM($D437))="NO",INDEX(Cat_HMax,MATCH($C437,Cat_Nombre,0)),INDEX(Cat_HMin,MATCH($C437,Cat_Nombre,0))))</f>
        <v/>
      </c>
      <c r="H437" s="16">
        <f>IF($F437&lt;&gt;"OK","",INDEX(Cat_HMax,MATCH($C437,Cat_Nombre,0)))</f>
        <v/>
      </c>
      <c r="I437" s="16">
        <f>IF($F437&lt;&gt;"OK","",(G437+H437)/2)</f>
        <v/>
      </c>
      <c r="J437" s="16">
        <f>IF($F437&lt;&gt;"OK","",G437/HorasDia)</f>
        <v/>
      </c>
      <c r="K437" s="16">
        <f>IF($F437&lt;&gt;"OK","",I437/HorasDia)</f>
        <v/>
      </c>
      <c r="L437" s="16">
        <f>IF($F437&lt;&gt;"OK","",H437/HorasDia)</f>
        <v/>
      </c>
      <c r="M437" s="17">
        <f>IF($F437&lt;&gt;"OK","",IF(UPPER(TRIM($D437))="NO",INDEX(Cat_TMax,MATCH($C437,Cat_Nombre,0)),INDEX(Cat_TMin,MATCH($C437,Cat_Nombre,0))))</f>
        <v/>
      </c>
      <c r="N437" s="17">
        <f>IF($F437&lt;&gt;"OK","",INDEX(Cat_TMax,MATCH($C437,Cat_Nombre,0)))</f>
        <v/>
      </c>
      <c r="O437" s="18">
        <f>IF($F437&lt;&gt;"OK","",INDEX(Cat_POpus,MATCH($C437,Cat_Nombre,0)))</f>
        <v/>
      </c>
      <c r="P437" s="19">
        <f>IF($F437&lt;&gt;"OK","",M437/1000000*((1-O437)*UsdM_Sonnet+O437*UsdM_Opus))</f>
        <v/>
      </c>
      <c r="Q437" s="19">
        <f>IF($F437&lt;&gt;"OK","",N437/1000000*((1-O437)*UsdM_Sonnet+O437*UsdM_Opus))</f>
        <v/>
      </c>
      <c r="R437" s="19">
        <f>IF($F437&lt;&gt;"OK","",G437*TarifaHora)</f>
        <v/>
      </c>
      <c r="S437" s="19">
        <f>IF($F437&lt;&gt;"OK","",H437*TarifaHora)</f>
        <v/>
      </c>
      <c r="T437" s="10">
        <f>IF($F437&lt;&gt;"OK","",IF(COUNTIFS($A$2:$A437,$A437,$F$2:$F437,"OK")=1,MAX($T$1:$T436)+1,""))</f>
        <v/>
      </c>
    </row>
    <row r="438">
      <c r="A438" s="11" t="n"/>
      <c r="B438" s="11" t="n"/>
      <c r="C438" s="11" t="n"/>
      <c r="D438" s="11" t="n"/>
      <c r="E438" s="11" t="n"/>
      <c r="F438" s="10">
        <f>IF(AND($A438="",$B438="",$C438=""),"",IF($A438="","⚠ Falta hito",IF(ISNA(MATCH($C438,Cat_Nombre,0)),"⚠ Categoría inválida","OK")))</f>
        <v/>
      </c>
      <c r="G438" s="16">
        <f>IF($F438&lt;&gt;"OK","",IF(UPPER(TRIM($D438))="NO",INDEX(Cat_HMax,MATCH($C438,Cat_Nombre,0)),INDEX(Cat_HMin,MATCH($C438,Cat_Nombre,0))))</f>
        <v/>
      </c>
      <c r="H438" s="16">
        <f>IF($F438&lt;&gt;"OK","",INDEX(Cat_HMax,MATCH($C438,Cat_Nombre,0)))</f>
        <v/>
      </c>
      <c r="I438" s="16">
        <f>IF($F438&lt;&gt;"OK","",(G438+H438)/2)</f>
        <v/>
      </c>
      <c r="J438" s="16">
        <f>IF($F438&lt;&gt;"OK","",G438/HorasDia)</f>
        <v/>
      </c>
      <c r="K438" s="16">
        <f>IF($F438&lt;&gt;"OK","",I438/HorasDia)</f>
        <v/>
      </c>
      <c r="L438" s="16">
        <f>IF($F438&lt;&gt;"OK","",H438/HorasDia)</f>
        <v/>
      </c>
      <c r="M438" s="17">
        <f>IF($F438&lt;&gt;"OK","",IF(UPPER(TRIM($D438))="NO",INDEX(Cat_TMax,MATCH($C438,Cat_Nombre,0)),INDEX(Cat_TMin,MATCH($C438,Cat_Nombre,0))))</f>
        <v/>
      </c>
      <c r="N438" s="17">
        <f>IF($F438&lt;&gt;"OK","",INDEX(Cat_TMax,MATCH($C438,Cat_Nombre,0)))</f>
        <v/>
      </c>
      <c r="O438" s="18">
        <f>IF($F438&lt;&gt;"OK","",INDEX(Cat_POpus,MATCH($C438,Cat_Nombre,0)))</f>
        <v/>
      </c>
      <c r="P438" s="19">
        <f>IF($F438&lt;&gt;"OK","",M438/1000000*((1-O438)*UsdM_Sonnet+O438*UsdM_Opus))</f>
        <v/>
      </c>
      <c r="Q438" s="19">
        <f>IF($F438&lt;&gt;"OK","",N438/1000000*((1-O438)*UsdM_Sonnet+O438*UsdM_Opus))</f>
        <v/>
      </c>
      <c r="R438" s="19">
        <f>IF($F438&lt;&gt;"OK","",G438*TarifaHora)</f>
        <v/>
      </c>
      <c r="S438" s="19">
        <f>IF($F438&lt;&gt;"OK","",H438*TarifaHora)</f>
        <v/>
      </c>
      <c r="T438" s="10">
        <f>IF($F438&lt;&gt;"OK","",IF(COUNTIFS($A$2:$A438,$A438,$F$2:$F438,"OK")=1,MAX($T$1:$T437)+1,""))</f>
        <v/>
      </c>
    </row>
    <row r="439">
      <c r="A439" s="11" t="n"/>
      <c r="B439" s="11" t="n"/>
      <c r="C439" s="11" t="n"/>
      <c r="D439" s="11" t="n"/>
      <c r="E439" s="11" t="n"/>
      <c r="F439" s="10">
        <f>IF(AND($A439="",$B439="",$C439=""),"",IF($A439="","⚠ Falta hito",IF(ISNA(MATCH($C439,Cat_Nombre,0)),"⚠ Categoría inválida","OK")))</f>
        <v/>
      </c>
      <c r="G439" s="16">
        <f>IF($F439&lt;&gt;"OK","",IF(UPPER(TRIM($D439))="NO",INDEX(Cat_HMax,MATCH($C439,Cat_Nombre,0)),INDEX(Cat_HMin,MATCH($C439,Cat_Nombre,0))))</f>
        <v/>
      </c>
      <c r="H439" s="16">
        <f>IF($F439&lt;&gt;"OK","",INDEX(Cat_HMax,MATCH($C439,Cat_Nombre,0)))</f>
        <v/>
      </c>
      <c r="I439" s="16">
        <f>IF($F439&lt;&gt;"OK","",(G439+H439)/2)</f>
        <v/>
      </c>
      <c r="J439" s="16">
        <f>IF($F439&lt;&gt;"OK","",G439/HorasDia)</f>
        <v/>
      </c>
      <c r="K439" s="16">
        <f>IF($F439&lt;&gt;"OK","",I439/HorasDia)</f>
        <v/>
      </c>
      <c r="L439" s="16">
        <f>IF($F439&lt;&gt;"OK","",H439/HorasDia)</f>
        <v/>
      </c>
      <c r="M439" s="17">
        <f>IF($F439&lt;&gt;"OK","",IF(UPPER(TRIM($D439))="NO",INDEX(Cat_TMax,MATCH($C439,Cat_Nombre,0)),INDEX(Cat_TMin,MATCH($C439,Cat_Nombre,0))))</f>
        <v/>
      </c>
      <c r="N439" s="17">
        <f>IF($F439&lt;&gt;"OK","",INDEX(Cat_TMax,MATCH($C439,Cat_Nombre,0)))</f>
        <v/>
      </c>
      <c r="O439" s="18">
        <f>IF($F439&lt;&gt;"OK","",INDEX(Cat_POpus,MATCH($C439,Cat_Nombre,0)))</f>
        <v/>
      </c>
      <c r="P439" s="19">
        <f>IF($F439&lt;&gt;"OK","",M439/1000000*((1-O439)*UsdM_Sonnet+O439*UsdM_Opus))</f>
        <v/>
      </c>
      <c r="Q439" s="19">
        <f>IF($F439&lt;&gt;"OK","",N439/1000000*((1-O439)*UsdM_Sonnet+O439*UsdM_Opus))</f>
        <v/>
      </c>
      <c r="R439" s="19">
        <f>IF($F439&lt;&gt;"OK","",G439*TarifaHora)</f>
        <v/>
      </c>
      <c r="S439" s="19">
        <f>IF($F439&lt;&gt;"OK","",H439*TarifaHora)</f>
        <v/>
      </c>
      <c r="T439" s="10">
        <f>IF($F439&lt;&gt;"OK","",IF(COUNTIFS($A$2:$A439,$A439,$F$2:$F439,"OK")=1,MAX($T$1:$T438)+1,""))</f>
        <v/>
      </c>
    </row>
    <row r="440">
      <c r="A440" s="11" t="n"/>
      <c r="B440" s="11" t="n"/>
      <c r="C440" s="11" t="n"/>
      <c r="D440" s="11" t="n"/>
      <c r="E440" s="11" t="n"/>
      <c r="F440" s="10">
        <f>IF(AND($A440="",$B440="",$C440=""),"",IF($A440="","⚠ Falta hito",IF(ISNA(MATCH($C440,Cat_Nombre,0)),"⚠ Categoría inválida","OK")))</f>
        <v/>
      </c>
      <c r="G440" s="16">
        <f>IF($F440&lt;&gt;"OK","",IF(UPPER(TRIM($D440))="NO",INDEX(Cat_HMax,MATCH($C440,Cat_Nombre,0)),INDEX(Cat_HMin,MATCH($C440,Cat_Nombre,0))))</f>
        <v/>
      </c>
      <c r="H440" s="16">
        <f>IF($F440&lt;&gt;"OK","",INDEX(Cat_HMax,MATCH($C440,Cat_Nombre,0)))</f>
        <v/>
      </c>
      <c r="I440" s="16">
        <f>IF($F440&lt;&gt;"OK","",(G440+H440)/2)</f>
        <v/>
      </c>
      <c r="J440" s="16">
        <f>IF($F440&lt;&gt;"OK","",G440/HorasDia)</f>
        <v/>
      </c>
      <c r="K440" s="16">
        <f>IF($F440&lt;&gt;"OK","",I440/HorasDia)</f>
        <v/>
      </c>
      <c r="L440" s="16">
        <f>IF($F440&lt;&gt;"OK","",H440/HorasDia)</f>
        <v/>
      </c>
      <c r="M440" s="17">
        <f>IF($F440&lt;&gt;"OK","",IF(UPPER(TRIM($D440))="NO",INDEX(Cat_TMax,MATCH($C440,Cat_Nombre,0)),INDEX(Cat_TMin,MATCH($C440,Cat_Nombre,0))))</f>
        <v/>
      </c>
      <c r="N440" s="17">
        <f>IF($F440&lt;&gt;"OK","",INDEX(Cat_TMax,MATCH($C440,Cat_Nombre,0)))</f>
        <v/>
      </c>
      <c r="O440" s="18">
        <f>IF($F440&lt;&gt;"OK","",INDEX(Cat_POpus,MATCH($C440,Cat_Nombre,0)))</f>
        <v/>
      </c>
      <c r="P440" s="19">
        <f>IF($F440&lt;&gt;"OK","",M440/1000000*((1-O440)*UsdM_Sonnet+O440*UsdM_Opus))</f>
        <v/>
      </c>
      <c r="Q440" s="19">
        <f>IF($F440&lt;&gt;"OK","",N440/1000000*((1-O440)*UsdM_Sonnet+O440*UsdM_Opus))</f>
        <v/>
      </c>
      <c r="R440" s="19">
        <f>IF($F440&lt;&gt;"OK","",G440*TarifaHora)</f>
        <v/>
      </c>
      <c r="S440" s="19">
        <f>IF($F440&lt;&gt;"OK","",H440*TarifaHora)</f>
        <v/>
      </c>
      <c r="T440" s="10">
        <f>IF($F440&lt;&gt;"OK","",IF(COUNTIFS($A$2:$A440,$A440,$F$2:$F440,"OK")=1,MAX($T$1:$T439)+1,""))</f>
        <v/>
      </c>
    </row>
    <row r="441">
      <c r="A441" s="11" t="n"/>
      <c r="B441" s="11" t="n"/>
      <c r="C441" s="11" t="n"/>
      <c r="D441" s="11" t="n"/>
      <c r="E441" s="11" t="n"/>
      <c r="F441" s="10">
        <f>IF(AND($A441="",$B441="",$C441=""),"",IF($A441="","⚠ Falta hito",IF(ISNA(MATCH($C441,Cat_Nombre,0)),"⚠ Categoría inválida","OK")))</f>
        <v/>
      </c>
      <c r="G441" s="16">
        <f>IF($F441&lt;&gt;"OK","",IF(UPPER(TRIM($D441))="NO",INDEX(Cat_HMax,MATCH($C441,Cat_Nombre,0)),INDEX(Cat_HMin,MATCH($C441,Cat_Nombre,0))))</f>
        <v/>
      </c>
      <c r="H441" s="16">
        <f>IF($F441&lt;&gt;"OK","",INDEX(Cat_HMax,MATCH($C441,Cat_Nombre,0)))</f>
        <v/>
      </c>
      <c r="I441" s="16">
        <f>IF($F441&lt;&gt;"OK","",(G441+H441)/2)</f>
        <v/>
      </c>
      <c r="J441" s="16">
        <f>IF($F441&lt;&gt;"OK","",G441/HorasDia)</f>
        <v/>
      </c>
      <c r="K441" s="16">
        <f>IF($F441&lt;&gt;"OK","",I441/HorasDia)</f>
        <v/>
      </c>
      <c r="L441" s="16">
        <f>IF($F441&lt;&gt;"OK","",H441/HorasDia)</f>
        <v/>
      </c>
      <c r="M441" s="17">
        <f>IF($F441&lt;&gt;"OK","",IF(UPPER(TRIM($D441))="NO",INDEX(Cat_TMax,MATCH($C441,Cat_Nombre,0)),INDEX(Cat_TMin,MATCH($C441,Cat_Nombre,0))))</f>
        <v/>
      </c>
      <c r="N441" s="17">
        <f>IF($F441&lt;&gt;"OK","",INDEX(Cat_TMax,MATCH($C441,Cat_Nombre,0)))</f>
        <v/>
      </c>
      <c r="O441" s="18">
        <f>IF($F441&lt;&gt;"OK","",INDEX(Cat_POpus,MATCH($C441,Cat_Nombre,0)))</f>
        <v/>
      </c>
      <c r="P441" s="19">
        <f>IF($F441&lt;&gt;"OK","",M441/1000000*((1-O441)*UsdM_Sonnet+O441*UsdM_Opus))</f>
        <v/>
      </c>
      <c r="Q441" s="19">
        <f>IF($F441&lt;&gt;"OK","",N441/1000000*((1-O441)*UsdM_Sonnet+O441*UsdM_Opus))</f>
        <v/>
      </c>
      <c r="R441" s="19">
        <f>IF($F441&lt;&gt;"OK","",G441*TarifaHora)</f>
        <v/>
      </c>
      <c r="S441" s="19">
        <f>IF($F441&lt;&gt;"OK","",H441*TarifaHora)</f>
        <v/>
      </c>
      <c r="T441" s="10">
        <f>IF($F441&lt;&gt;"OK","",IF(COUNTIFS($A$2:$A441,$A441,$F$2:$F441,"OK")=1,MAX($T$1:$T440)+1,""))</f>
        <v/>
      </c>
    </row>
    <row r="442">
      <c r="A442" s="11" t="n"/>
      <c r="B442" s="11" t="n"/>
      <c r="C442" s="11" t="n"/>
      <c r="D442" s="11" t="n"/>
      <c r="E442" s="11" t="n"/>
      <c r="F442" s="10">
        <f>IF(AND($A442="",$B442="",$C442=""),"",IF($A442="","⚠ Falta hito",IF(ISNA(MATCH($C442,Cat_Nombre,0)),"⚠ Categoría inválida","OK")))</f>
        <v/>
      </c>
      <c r="G442" s="16">
        <f>IF($F442&lt;&gt;"OK","",IF(UPPER(TRIM($D442))="NO",INDEX(Cat_HMax,MATCH($C442,Cat_Nombre,0)),INDEX(Cat_HMin,MATCH($C442,Cat_Nombre,0))))</f>
        <v/>
      </c>
      <c r="H442" s="16">
        <f>IF($F442&lt;&gt;"OK","",INDEX(Cat_HMax,MATCH($C442,Cat_Nombre,0)))</f>
        <v/>
      </c>
      <c r="I442" s="16">
        <f>IF($F442&lt;&gt;"OK","",(G442+H442)/2)</f>
        <v/>
      </c>
      <c r="J442" s="16">
        <f>IF($F442&lt;&gt;"OK","",G442/HorasDia)</f>
        <v/>
      </c>
      <c r="K442" s="16">
        <f>IF($F442&lt;&gt;"OK","",I442/HorasDia)</f>
        <v/>
      </c>
      <c r="L442" s="16">
        <f>IF($F442&lt;&gt;"OK","",H442/HorasDia)</f>
        <v/>
      </c>
      <c r="M442" s="17">
        <f>IF($F442&lt;&gt;"OK","",IF(UPPER(TRIM($D442))="NO",INDEX(Cat_TMax,MATCH($C442,Cat_Nombre,0)),INDEX(Cat_TMin,MATCH($C442,Cat_Nombre,0))))</f>
        <v/>
      </c>
      <c r="N442" s="17">
        <f>IF($F442&lt;&gt;"OK","",INDEX(Cat_TMax,MATCH($C442,Cat_Nombre,0)))</f>
        <v/>
      </c>
      <c r="O442" s="18">
        <f>IF($F442&lt;&gt;"OK","",INDEX(Cat_POpus,MATCH($C442,Cat_Nombre,0)))</f>
        <v/>
      </c>
      <c r="P442" s="19">
        <f>IF($F442&lt;&gt;"OK","",M442/1000000*((1-O442)*UsdM_Sonnet+O442*UsdM_Opus))</f>
        <v/>
      </c>
      <c r="Q442" s="19">
        <f>IF($F442&lt;&gt;"OK","",N442/1000000*((1-O442)*UsdM_Sonnet+O442*UsdM_Opus))</f>
        <v/>
      </c>
      <c r="R442" s="19">
        <f>IF($F442&lt;&gt;"OK","",G442*TarifaHora)</f>
        <v/>
      </c>
      <c r="S442" s="19">
        <f>IF($F442&lt;&gt;"OK","",H442*TarifaHora)</f>
        <v/>
      </c>
      <c r="T442" s="10">
        <f>IF($F442&lt;&gt;"OK","",IF(COUNTIFS($A$2:$A442,$A442,$F$2:$F442,"OK")=1,MAX($T$1:$T441)+1,""))</f>
        <v/>
      </c>
    </row>
    <row r="443">
      <c r="A443" s="11" t="n"/>
      <c r="B443" s="11" t="n"/>
      <c r="C443" s="11" t="n"/>
      <c r="D443" s="11" t="n"/>
      <c r="E443" s="11" t="n"/>
      <c r="F443" s="10">
        <f>IF(AND($A443="",$B443="",$C443=""),"",IF($A443="","⚠ Falta hito",IF(ISNA(MATCH($C443,Cat_Nombre,0)),"⚠ Categoría inválida","OK")))</f>
        <v/>
      </c>
      <c r="G443" s="16">
        <f>IF($F443&lt;&gt;"OK","",IF(UPPER(TRIM($D443))="NO",INDEX(Cat_HMax,MATCH($C443,Cat_Nombre,0)),INDEX(Cat_HMin,MATCH($C443,Cat_Nombre,0))))</f>
        <v/>
      </c>
      <c r="H443" s="16">
        <f>IF($F443&lt;&gt;"OK","",INDEX(Cat_HMax,MATCH($C443,Cat_Nombre,0)))</f>
        <v/>
      </c>
      <c r="I443" s="16">
        <f>IF($F443&lt;&gt;"OK","",(G443+H443)/2)</f>
        <v/>
      </c>
      <c r="J443" s="16">
        <f>IF($F443&lt;&gt;"OK","",G443/HorasDia)</f>
        <v/>
      </c>
      <c r="K443" s="16">
        <f>IF($F443&lt;&gt;"OK","",I443/HorasDia)</f>
        <v/>
      </c>
      <c r="L443" s="16">
        <f>IF($F443&lt;&gt;"OK","",H443/HorasDia)</f>
        <v/>
      </c>
      <c r="M443" s="17">
        <f>IF($F443&lt;&gt;"OK","",IF(UPPER(TRIM($D443))="NO",INDEX(Cat_TMax,MATCH($C443,Cat_Nombre,0)),INDEX(Cat_TMin,MATCH($C443,Cat_Nombre,0))))</f>
        <v/>
      </c>
      <c r="N443" s="17">
        <f>IF($F443&lt;&gt;"OK","",INDEX(Cat_TMax,MATCH($C443,Cat_Nombre,0)))</f>
        <v/>
      </c>
      <c r="O443" s="18">
        <f>IF($F443&lt;&gt;"OK","",INDEX(Cat_POpus,MATCH($C443,Cat_Nombre,0)))</f>
        <v/>
      </c>
      <c r="P443" s="19">
        <f>IF($F443&lt;&gt;"OK","",M443/1000000*((1-O443)*UsdM_Sonnet+O443*UsdM_Opus))</f>
        <v/>
      </c>
      <c r="Q443" s="19">
        <f>IF($F443&lt;&gt;"OK","",N443/1000000*((1-O443)*UsdM_Sonnet+O443*UsdM_Opus))</f>
        <v/>
      </c>
      <c r="R443" s="19">
        <f>IF($F443&lt;&gt;"OK","",G443*TarifaHora)</f>
        <v/>
      </c>
      <c r="S443" s="19">
        <f>IF($F443&lt;&gt;"OK","",H443*TarifaHora)</f>
        <v/>
      </c>
      <c r="T443" s="10">
        <f>IF($F443&lt;&gt;"OK","",IF(COUNTIFS($A$2:$A443,$A443,$F$2:$F443,"OK")=1,MAX($T$1:$T442)+1,""))</f>
        <v/>
      </c>
    </row>
    <row r="444">
      <c r="A444" s="11" t="n"/>
      <c r="B444" s="11" t="n"/>
      <c r="C444" s="11" t="n"/>
      <c r="D444" s="11" t="n"/>
      <c r="E444" s="11" t="n"/>
      <c r="F444" s="10">
        <f>IF(AND($A444="",$B444="",$C444=""),"",IF($A444="","⚠ Falta hito",IF(ISNA(MATCH($C444,Cat_Nombre,0)),"⚠ Categoría inválida","OK")))</f>
        <v/>
      </c>
      <c r="G444" s="16">
        <f>IF($F444&lt;&gt;"OK","",IF(UPPER(TRIM($D444))="NO",INDEX(Cat_HMax,MATCH($C444,Cat_Nombre,0)),INDEX(Cat_HMin,MATCH($C444,Cat_Nombre,0))))</f>
        <v/>
      </c>
      <c r="H444" s="16">
        <f>IF($F444&lt;&gt;"OK","",INDEX(Cat_HMax,MATCH($C444,Cat_Nombre,0)))</f>
        <v/>
      </c>
      <c r="I444" s="16">
        <f>IF($F444&lt;&gt;"OK","",(G444+H444)/2)</f>
        <v/>
      </c>
      <c r="J444" s="16">
        <f>IF($F444&lt;&gt;"OK","",G444/HorasDia)</f>
        <v/>
      </c>
      <c r="K444" s="16">
        <f>IF($F444&lt;&gt;"OK","",I444/HorasDia)</f>
        <v/>
      </c>
      <c r="L444" s="16">
        <f>IF($F444&lt;&gt;"OK","",H444/HorasDia)</f>
        <v/>
      </c>
      <c r="M444" s="17">
        <f>IF($F444&lt;&gt;"OK","",IF(UPPER(TRIM($D444))="NO",INDEX(Cat_TMax,MATCH($C444,Cat_Nombre,0)),INDEX(Cat_TMin,MATCH($C444,Cat_Nombre,0))))</f>
        <v/>
      </c>
      <c r="N444" s="17">
        <f>IF($F444&lt;&gt;"OK","",INDEX(Cat_TMax,MATCH($C444,Cat_Nombre,0)))</f>
        <v/>
      </c>
      <c r="O444" s="18">
        <f>IF($F444&lt;&gt;"OK","",INDEX(Cat_POpus,MATCH($C444,Cat_Nombre,0)))</f>
        <v/>
      </c>
      <c r="P444" s="19">
        <f>IF($F444&lt;&gt;"OK","",M444/1000000*((1-O444)*UsdM_Sonnet+O444*UsdM_Opus))</f>
        <v/>
      </c>
      <c r="Q444" s="19">
        <f>IF($F444&lt;&gt;"OK","",N444/1000000*((1-O444)*UsdM_Sonnet+O444*UsdM_Opus))</f>
        <v/>
      </c>
      <c r="R444" s="19">
        <f>IF($F444&lt;&gt;"OK","",G444*TarifaHora)</f>
        <v/>
      </c>
      <c r="S444" s="19">
        <f>IF($F444&lt;&gt;"OK","",H444*TarifaHora)</f>
        <v/>
      </c>
      <c r="T444" s="10">
        <f>IF($F444&lt;&gt;"OK","",IF(COUNTIFS($A$2:$A444,$A444,$F$2:$F444,"OK")=1,MAX($T$1:$T443)+1,""))</f>
        <v/>
      </c>
    </row>
    <row r="445">
      <c r="A445" s="11" t="n"/>
      <c r="B445" s="11" t="n"/>
      <c r="C445" s="11" t="n"/>
      <c r="D445" s="11" t="n"/>
      <c r="E445" s="11" t="n"/>
      <c r="F445" s="10">
        <f>IF(AND($A445="",$B445="",$C445=""),"",IF($A445="","⚠ Falta hito",IF(ISNA(MATCH($C445,Cat_Nombre,0)),"⚠ Categoría inválida","OK")))</f>
        <v/>
      </c>
      <c r="G445" s="16">
        <f>IF($F445&lt;&gt;"OK","",IF(UPPER(TRIM($D445))="NO",INDEX(Cat_HMax,MATCH($C445,Cat_Nombre,0)),INDEX(Cat_HMin,MATCH($C445,Cat_Nombre,0))))</f>
        <v/>
      </c>
      <c r="H445" s="16">
        <f>IF($F445&lt;&gt;"OK","",INDEX(Cat_HMax,MATCH($C445,Cat_Nombre,0)))</f>
        <v/>
      </c>
      <c r="I445" s="16">
        <f>IF($F445&lt;&gt;"OK","",(G445+H445)/2)</f>
        <v/>
      </c>
      <c r="J445" s="16">
        <f>IF($F445&lt;&gt;"OK","",G445/HorasDia)</f>
        <v/>
      </c>
      <c r="K445" s="16">
        <f>IF($F445&lt;&gt;"OK","",I445/HorasDia)</f>
        <v/>
      </c>
      <c r="L445" s="16">
        <f>IF($F445&lt;&gt;"OK","",H445/HorasDia)</f>
        <v/>
      </c>
      <c r="M445" s="17">
        <f>IF($F445&lt;&gt;"OK","",IF(UPPER(TRIM($D445))="NO",INDEX(Cat_TMax,MATCH($C445,Cat_Nombre,0)),INDEX(Cat_TMin,MATCH($C445,Cat_Nombre,0))))</f>
        <v/>
      </c>
      <c r="N445" s="17">
        <f>IF($F445&lt;&gt;"OK","",INDEX(Cat_TMax,MATCH($C445,Cat_Nombre,0)))</f>
        <v/>
      </c>
      <c r="O445" s="18">
        <f>IF($F445&lt;&gt;"OK","",INDEX(Cat_POpus,MATCH($C445,Cat_Nombre,0)))</f>
        <v/>
      </c>
      <c r="P445" s="19">
        <f>IF($F445&lt;&gt;"OK","",M445/1000000*((1-O445)*UsdM_Sonnet+O445*UsdM_Opus))</f>
        <v/>
      </c>
      <c r="Q445" s="19">
        <f>IF($F445&lt;&gt;"OK","",N445/1000000*((1-O445)*UsdM_Sonnet+O445*UsdM_Opus))</f>
        <v/>
      </c>
      <c r="R445" s="19">
        <f>IF($F445&lt;&gt;"OK","",G445*TarifaHora)</f>
        <v/>
      </c>
      <c r="S445" s="19">
        <f>IF($F445&lt;&gt;"OK","",H445*TarifaHora)</f>
        <v/>
      </c>
      <c r="T445" s="10">
        <f>IF($F445&lt;&gt;"OK","",IF(COUNTIFS($A$2:$A445,$A445,$F$2:$F445,"OK")=1,MAX($T$1:$T444)+1,""))</f>
        <v/>
      </c>
    </row>
    <row r="446">
      <c r="A446" s="11" t="n"/>
      <c r="B446" s="11" t="n"/>
      <c r="C446" s="11" t="n"/>
      <c r="D446" s="11" t="n"/>
      <c r="E446" s="11" t="n"/>
      <c r="F446" s="10">
        <f>IF(AND($A446="",$B446="",$C446=""),"",IF($A446="","⚠ Falta hito",IF(ISNA(MATCH($C446,Cat_Nombre,0)),"⚠ Categoría inválida","OK")))</f>
        <v/>
      </c>
      <c r="G446" s="16">
        <f>IF($F446&lt;&gt;"OK","",IF(UPPER(TRIM($D446))="NO",INDEX(Cat_HMax,MATCH($C446,Cat_Nombre,0)),INDEX(Cat_HMin,MATCH($C446,Cat_Nombre,0))))</f>
        <v/>
      </c>
      <c r="H446" s="16">
        <f>IF($F446&lt;&gt;"OK","",INDEX(Cat_HMax,MATCH($C446,Cat_Nombre,0)))</f>
        <v/>
      </c>
      <c r="I446" s="16">
        <f>IF($F446&lt;&gt;"OK","",(G446+H446)/2)</f>
        <v/>
      </c>
      <c r="J446" s="16">
        <f>IF($F446&lt;&gt;"OK","",G446/HorasDia)</f>
        <v/>
      </c>
      <c r="K446" s="16">
        <f>IF($F446&lt;&gt;"OK","",I446/HorasDia)</f>
        <v/>
      </c>
      <c r="L446" s="16">
        <f>IF($F446&lt;&gt;"OK","",H446/HorasDia)</f>
        <v/>
      </c>
      <c r="M446" s="17">
        <f>IF($F446&lt;&gt;"OK","",IF(UPPER(TRIM($D446))="NO",INDEX(Cat_TMax,MATCH($C446,Cat_Nombre,0)),INDEX(Cat_TMin,MATCH($C446,Cat_Nombre,0))))</f>
        <v/>
      </c>
      <c r="N446" s="17">
        <f>IF($F446&lt;&gt;"OK","",INDEX(Cat_TMax,MATCH($C446,Cat_Nombre,0)))</f>
        <v/>
      </c>
      <c r="O446" s="18">
        <f>IF($F446&lt;&gt;"OK","",INDEX(Cat_POpus,MATCH($C446,Cat_Nombre,0)))</f>
        <v/>
      </c>
      <c r="P446" s="19">
        <f>IF($F446&lt;&gt;"OK","",M446/1000000*((1-O446)*UsdM_Sonnet+O446*UsdM_Opus))</f>
        <v/>
      </c>
      <c r="Q446" s="19">
        <f>IF($F446&lt;&gt;"OK","",N446/1000000*((1-O446)*UsdM_Sonnet+O446*UsdM_Opus))</f>
        <v/>
      </c>
      <c r="R446" s="19">
        <f>IF($F446&lt;&gt;"OK","",G446*TarifaHora)</f>
        <v/>
      </c>
      <c r="S446" s="19">
        <f>IF($F446&lt;&gt;"OK","",H446*TarifaHora)</f>
        <v/>
      </c>
      <c r="T446" s="10">
        <f>IF($F446&lt;&gt;"OK","",IF(COUNTIFS($A$2:$A446,$A446,$F$2:$F446,"OK")=1,MAX($T$1:$T445)+1,""))</f>
        <v/>
      </c>
    </row>
    <row r="447">
      <c r="A447" s="11" t="n"/>
      <c r="B447" s="11" t="n"/>
      <c r="C447" s="11" t="n"/>
      <c r="D447" s="11" t="n"/>
      <c r="E447" s="11" t="n"/>
      <c r="F447" s="10">
        <f>IF(AND($A447="",$B447="",$C447=""),"",IF($A447="","⚠ Falta hito",IF(ISNA(MATCH($C447,Cat_Nombre,0)),"⚠ Categoría inválida","OK")))</f>
        <v/>
      </c>
      <c r="G447" s="16">
        <f>IF($F447&lt;&gt;"OK","",IF(UPPER(TRIM($D447))="NO",INDEX(Cat_HMax,MATCH($C447,Cat_Nombre,0)),INDEX(Cat_HMin,MATCH($C447,Cat_Nombre,0))))</f>
        <v/>
      </c>
      <c r="H447" s="16">
        <f>IF($F447&lt;&gt;"OK","",INDEX(Cat_HMax,MATCH($C447,Cat_Nombre,0)))</f>
        <v/>
      </c>
      <c r="I447" s="16">
        <f>IF($F447&lt;&gt;"OK","",(G447+H447)/2)</f>
        <v/>
      </c>
      <c r="J447" s="16">
        <f>IF($F447&lt;&gt;"OK","",G447/HorasDia)</f>
        <v/>
      </c>
      <c r="K447" s="16">
        <f>IF($F447&lt;&gt;"OK","",I447/HorasDia)</f>
        <v/>
      </c>
      <c r="L447" s="16">
        <f>IF($F447&lt;&gt;"OK","",H447/HorasDia)</f>
        <v/>
      </c>
      <c r="M447" s="17">
        <f>IF($F447&lt;&gt;"OK","",IF(UPPER(TRIM($D447))="NO",INDEX(Cat_TMax,MATCH($C447,Cat_Nombre,0)),INDEX(Cat_TMin,MATCH($C447,Cat_Nombre,0))))</f>
        <v/>
      </c>
      <c r="N447" s="17">
        <f>IF($F447&lt;&gt;"OK","",INDEX(Cat_TMax,MATCH($C447,Cat_Nombre,0)))</f>
        <v/>
      </c>
      <c r="O447" s="18">
        <f>IF($F447&lt;&gt;"OK","",INDEX(Cat_POpus,MATCH($C447,Cat_Nombre,0)))</f>
        <v/>
      </c>
      <c r="P447" s="19">
        <f>IF($F447&lt;&gt;"OK","",M447/1000000*((1-O447)*UsdM_Sonnet+O447*UsdM_Opus))</f>
        <v/>
      </c>
      <c r="Q447" s="19">
        <f>IF($F447&lt;&gt;"OK","",N447/1000000*((1-O447)*UsdM_Sonnet+O447*UsdM_Opus))</f>
        <v/>
      </c>
      <c r="R447" s="19">
        <f>IF($F447&lt;&gt;"OK","",G447*TarifaHora)</f>
        <v/>
      </c>
      <c r="S447" s="19">
        <f>IF($F447&lt;&gt;"OK","",H447*TarifaHora)</f>
        <v/>
      </c>
      <c r="T447" s="10">
        <f>IF($F447&lt;&gt;"OK","",IF(COUNTIFS($A$2:$A447,$A447,$F$2:$F447,"OK")=1,MAX($T$1:$T446)+1,""))</f>
        <v/>
      </c>
    </row>
    <row r="448">
      <c r="A448" s="11" t="n"/>
      <c r="B448" s="11" t="n"/>
      <c r="C448" s="11" t="n"/>
      <c r="D448" s="11" t="n"/>
      <c r="E448" s="11" t="n"/>
      <c r="F448" s="10">
        <f>IF(AND($A448="",$B448="",$C448=""),"",IF($A448="","⚠ Falta hito",IF(ISNA(MATCH($C448,Cat_Nombre,0)),"⚠ Categoría inválida","OK")))</f>
        <v/>
      </c>
      <c r="G448" s="16">
        <f>IF($F448&lt;&gt;"OK","",IF(UPPER(TRIM($D448))="NO",INDEX(Cat_HMax,MATCH($C448,Cat_Nombre,0)),INDEX(Cat_HMin,MATCH($C448,Cat_Nombre,0))))</f>
        <v/>
      </c>
      <c r="H448" s="16">
        <f>IF($F448&lt;&gt;"OK","",INDEX(Cat_HMax,MATCH($C448,Cat_Nombre,0)))</f>
        <v/>
      </c>
      <c r="I448" s="16">
        <f>IF($F448&lt;&gt;"OK","",(G448+H448)/2)</f>
        <v/>
      </c>
      <c r="J448" s="16">
        <f>IF($F448&lt;&gt;"OK","",G448/HorasDia)</f>
        <v/>
      </c>
      <c r="K448" s="16">
        <f>IF($F448&lt;&gt;"OK","",I448/HorasDia)</f>
        <v/>
      </c>
      <c r="L448" s="16">
        <f>IF($F448&lt;&gt;"OK","",H448/HorasDia)</f>
        <v/>
      </c>
      <c r="M448" s="17">
        <f>IF($F448&lt;&gt;"OK","",IF(UPPER(TRIM($D448))="NO",INDEX(Cat_TMax,MATCH($C448,Cat_Nombre,0)),INDEX(Cat_TMin,MATCH($C448,Cat_Nombre,0))))</f>
        <v/>
      </c>
      <c r="N448" s="17">
        <f>IF($F448&lt;&gt;"OK","",INDEX(Cat_TMax,MATCH($C448,Cat_Nombre,0)))</f>
        <v/>
      </c>
      <c r="O448" s="18">
        <f>IF($F448&lt;&gt;"OK","",INDEX(Cat_POpus,MATCH($C448,Cat_Nombre,0)))</f>
        <v/>
      </c>
      <c r="P448" s="19">
        <f>IF($F448&lt;&gt;"OK","",M448/1000000*((1-O448)*UsdM_Sonnet+O448*UsdM_Opus))</f>
        <v/>
      </c>
      <c r="Q448" s="19">
        <f>IF($F448&lt;&gt;"OK","",N448/1000000*((1-O448)*UsdM_Sonnet+O448*UsdM_Opus))</f>
        <v/>
      </c>
      <c r="R448" s="19">
        <f>IF($F448&lt;&gt;"OK","",G448*TarifaHora)</f>
        <v/>
      </c>
      <c r="S448" s="19">
        <f>IF($F448&lt;&gt;"OK","",H448*TarifaHora)</f>
        <v/>
      </c>
      <c r="T448" s="10">
        <f>IF($F448&lt;&gt;"OK","",IF(COUNTIFS($A$2:$A448,$A448,$F$2:$F448,"OK")=1,MAX($T$1:$T447)+1,""))</f>
        <v/>
      </c>
    </row>
    <row r="449">
      <c r="A449" s="11" t="n"/>
      <c r="B449" s="11" t="n"/>
      <c r="C449" s="11" t="n"/>
      <c r="D449" s="11" t="n"/>
      <c r="E449" s="11" t="n"/>
      <c r="F449" s="10">
        <f>IF(AND($A449="",$B449="",$C449=""),"",IF($A449="","⚠ Falta hito",IF(ISNA(MATCH($C449,Cat_Nombre,0)),"⚠ Categoría inválida","OK")))</f>
        <v/>
      </c>
      <c r="G449" s="16">
        <f>IF($F449&lt;&gt;"OK","",IF(UPPER(TRIM($D449))="NO",INDEX(Cat_HMax,MATCH($C449,Cat_Nombre,0)),INDEX(Cat_HMin,MATCH($C449,Cat_Nombre,0))))</f>
        <v/>
      </c>
      <c r="H449" s="16">
        <f>IF($F449&lt;&gt;"OK","",INDEX(Cat_HMax,MATCH($C449,Cat_Nombre,0)))</f>
        <v/>
      </c>
      <c r="I449" s="16">
        <f>IF($F449&lt;&gt;"OK","",(G449+H449)/2)</f>
        <v/>
      </c>
      <c r="J449" s="16">
        <f>IF($F449&lt;&gt;"OK","",G449/HorasDia)</f>
        <v/>
      </c>
      <c r="K449" s="16">
        <f>IF($F449&lt;&gt;"OK","",I449/HorasDia)</f>
        <v/>
      </c>
      <c r="L449" s="16">
        <f>IF($F449&lt;&gt;"OK","",H449/HorasDia)</f>
        <v/>
      </c>
      <c r="M449" s="17">
        <f>IF($F449&lt;&gt;"OK","",IF(UPPER(TRIM($D449))="NO",INDEX(Cat_TMax,MATCH($C449,Cat_Nombre,0)),INDEX(Cat_TMin,MATCH($C449,Cat_Nombre,0))))</f>
        <v/>
      </c>
      <c r="N449" s="17">
        <f>IF($F449&lt;&gt;"OK","",INDEX(Cat_TMax,MATCH($C449,Cat_Nombre,0)))</f>
        <v/>
      </c>
      <c r="O449" s="18">
        <f>IF($F449&lt;&gt;"OK","",INDEX(Cat_POpus,MATCH($C449,Cat_Nombre,0)))</f>
        <v/>
      </c>
      <c r="P449" s="19">
        <f>IF($F449&lt;&gt;"OK","",M449/1000000*((1-O449)*UsdM_Sonnet+O449*UsdM_Opus))</f>
        <v/>
      </c>
      <c r="Q449" s="19">
        <f>IF($F449&lt;&gt;"OK","",N449/1000000*((1-O449)*UsdM_Sonnet+O449*UsdM_Opus))</f>
        <v/>
      </c>
      <c r="R449" s="19">
        <f>IF($F449&lt;&gt;"OK","",G449*TarifaHora)</f>
        <v/>
      </c>
      <c r="S449" s="19">
        <f>IF($F449&lt;&gt;"OK","",H449*TarifaHora)</f>
        <v/>
      </c>
      <c r="T449" s="10">
        <f>IF($F449&lt;&gt;"OK","",IF(COUNTIFS($A$2:$A449,$A449,$F$2:$F449,"OK")=1,MAX($T$1:$T448)+1,""))</f>
        <v/>
      </c>
    </row>
    <row r="450">
      <c r="A450" s="11" t="n"/>
      <c r="B450" s="11" t="n"/>
      <c r="C450" s="11" t="n"/>
      <c r="D450" s="11" t="n"/>
      <c r="E450" s="11" t="n"/>
      <c r="F450" s="10">
        <f>IF(AND($A450="",$B450="",$C450=""),"",IF($A450="","⚠ Falta hito",IF(ISNA(MATCH($C450,Cat_Nombre,0)),"⚠ Categoría inválida","OK")))</f>
        <v/>
      </c>
      <c r="G450" s="16">
        <f>IF($F450&lt;&gt;"OK","",IF(UPPER(TRIM($D450))="NO",INDEX(Cat_HMax,MATCH($C450,Cat_Nombre,0)),INDEX(Cat_HMin,MATCH($C450,Cat_Nombre,0))))</f>
        <v/>
      </c>
      <c r="H450" s="16">
        <f>IF($F450&lt;&gt;"OK","",INDEX(Cat_HMax,MATCH($C450,Cat_Nombre,0)))</f>
        <v/>
      </c>
      <c r="I450" s="16">
        <f>IF($F450&lt;&gt;"OK","",(G450+H450)/2)</f>
        <v/>
      </c>
      <c r="J450" s="16">
        <f>IF($F450&lt;&gt;"OK","",G450/HorasDia)</f>
        <v/>
      </c>
      <c r="K450" s="16">
        <f>IF($F450&lt;&gt;"OK","",I450/HorasDia)</f>
        <v/>
      </c>
      <c r="L450" s="16">
        <f>IF($F450&lt;&gt;"OK","",H450/HorasDia)</f>
        <v/>
      </c>
      <c r="M450" s="17">
        <f>IF($F450&lt;&gt;"OK","",IF(UPPER(TRIM($D450))="NO",INDEX(Cat_TMax,MATCH($C450,Cat_Nombre,0)),INDEX(Cat_TMin,MATCH($C450,Cat_Nombre,0))))</f>
        <v/>
      </c>
      <c r="N450" s="17">
        <f>IF($F450&lt;&gt;"OK","",INDEX(Cat_TMax,MATCH($C450,Cat_Nombre,0)))</f>
        <v/>
      </c>
      <c r="O450" s="18">
        <f>IF($F450&lt;&gt;"OK","",INDEX(Cat_POpus,MATCH($C450,Cat_Nombre,0)))</f>
        <v/>
      </c>
      <c r="P450" s="19">
        <f>IF($F450&lt;&gt;"OK","",M450/1000000*((1-O450)*UsdM_Sonnet+O450*UsdM_Opus))</f>
        <v/>
      </c>
      <c r="Q450" s="19">
        <f>IF($F450&lt;&gt;"OK","",N450/1000000*((1-O450)*UsdM_Sonnet+O450*UsdM_Opus))</f>
        <v/>
      </c>
      <c r="R450" s="19">
        <f>IF($F450&lt;&gt;"OK","",G450*TarifaHora)</f>
        <v/>
      </c>
      <c r="S450" s="19">
        <f>IF($F450&lt;&gt;"OK","",H450*TarifaHora)</f>
        <v/>
      </c>
      <c r="T450" s="10">
        <f>IF($F450&lt;&gt;"OK","",IF(COUNTIFS($A$2:$A450,$A450,$F$2:$F450,"OK")=1,MAX($T$1:$T449)+1,""))</f>
        <v/>
      </c>
    </row>
    <row r="451">
      <c r="A451" s="11" t="n"/>
      <c r="B451" s="11" t="n"/>
      <c r="C451" s="11" t="n"/>
      <c r="D451" s="11" t="n"/>
      <c r="E451" s="11" t="n"/>
      <c r="F451" s="10">
        <f>IF(AND($A451="",$B451="",$C451=""),"",IF($A451="","⚠ Falta hito",IF(ISNA(MATCH($C451,Cat_Nombre,0)),"⚠ Categoría inválida","OK")))</f>
        <v/>
      </c>
      <c r="G451" s="16">
        <f>IF($F451&lt;&gt;"OK","",IF(UPPER(TRIM($D451))="NO",INDEX(Cat_HMax,MATCH($C451,Cat_Nombre,0)),INDEX(Cat_HMin,MATCH($C451,Cat_Nombre,0))))</f>
        <v/>
      </c>
      <c r="H451" s="16">
        <f>IF($F451&lt;&gt;"OK","",INDEX(Cat_HMax,MATCH($C451,Cat_Nombre,0)))</f>
        <v/>
      </c>
      <c r="I451" s="16">
        <f>IF($F451&lt;&gt;"OK","",(G451+H451)/2)</f>
        <v/>
      </c>
      <c r="J451" s="16">
        <f>IF($F451&lt;&gt;"OK","",G451/HorasDia)</f>
        <v/>
      </c>
      <c r="K451" s="16">
        <f>IF($F451&lt;&gt;"OK","",I451/HorasDia)</f>
        <v/>
      </c>
      <c r="L451" s="16">
        <f>IF($F451&lt;&gt;"OK","",H451/HorasDia)</f>
        <v/>
      </c>
      <c r="M451" s="17">
        <f>IF($F451&lt;&gt;"OK","",IF(UPPER(TRIM($D451))="NO",INDEX(Cat_TMax,MATCH($C451,Cat_Nombre,0)),INDEX(Cat_TMin,MATCH($C451,Cat_Nombre,0))))</f>
        <v/>
      </c>
      <c r="N451" s="17">
        <f>IF($F451&lt;&gt;"OK","",INDEX(Cat_TMax,MATCH($C451,Cat_Nombre,0)))</f>
        <v/>
      </c>
      <c r="O451" s="18">
        <f>IF($F451&lt;&gt;"OK","",INDEX(Cat_POpus,MATCH($C451,Cat_Nombre,0)))</f>
        <v/>
      </c>
      <c r="P451" s="19">
        <f>IF($F451&lt;&gt;"OK","",M451/1000000*((1-O451)*UsdM_Sonnet+O451*UsdM_Opus))</f>
        <v/>
      </c>
      <c r="Q451" s="19">
        <f>IF($F451&lt;&gt;"OK","",N451/1000000*((1-O451)*UsdM_Sonnet+O451*UsdM_Opus))</f>
        <v/>
      </c>
      <c r="R451" s="19">
        <f>IF($F451&lt;&gt;"OK","",G451*TarifaHora)</f>
        <v/>
      </c>
      <c r="S451" s="19">
        <f>IF($F451&lt;&gt;"OK","",H451*TarifaHora)</f>
        <v/>
      </c>
      <c r="T451" s="10">
        <f>IF($F451&lt;&gt;"OK","",IF(COUNTIFS($A$2:$A451,$A451,$F$2:$F451,"OK")=1,MAX($T$1:$T450)+1,""))</f>
        <v/>
      </c>
    </row>
    <row r="452">
      <c r="A452" s="11" t="n"/>
      <c r="B452" s="11" t="n"/>
      <c r="C452" s="11" t="n"/>
      <c r="D452" s="11" t="n"/>
      <c r="E452" s="11" t="n"/>
      <c r="F452" s="10">
        <f>IF(AND($A452="",$B452="",$C452=""),"",IF($A452="","⚠ Falta hito",IF(ISNA(MATCH($C452,Cat_Nombre,0)),"⚠ Categoría inválida","OK")))</f>
        <v/>
      </c>
      <c r="G452" s="16">
        <f>IF($F452&lt;&gt;"OK","",IF(UPPER(TRIM($D452))="NO",INDEX(Cat_HMax,MATCH($C452,Cat_Nombre,0)),INDEX(Cat_HMin,MATCH($C452,Cat_Nombre,0))))</f>
        <v/>
      </c>
      <c r="H452" s="16">
        <f>IF($F452&lt;&gt;"OK","",INDEX(Cat_HMax,MATCH($C452,Cat_Nombre,0)))</f>
        <v/>
      </c>
      <c r="I452" s="16">
        <f>IF($F452&lt;&gt;"OK","",(G452+H452)/2)</f>
        <v/>
      </c>
      <c r="J452" s="16">
        <f>IF($F452&lt;&gt;"OK","",G452/HorasDia)</f>
        <v/>
      </c>
      <c r="K452" s="16">
        <f>IF($F452&lt;&gt;"OK","",I452/HorasDia)</f>
        <v/>
      </c>
      <c r="L452" s="16">
        <f>IF($F452&lt;&gt;"OK","",H452/HorasDia)</f>
        <v/>
      </c>
      <c r="M452" s="17">
        <f>IF($F452&lt;&gt;"OK","",IF(UPPER(TRIM($D452))="NO",INDEX(Cat_TMax,MATCH($C452,Cat_Nombre,0)),INDEX(Cat_TMin,MATCH($C452,Cat_Nombre,0))))</f>
        <v/>
      </c>
      <c r="N452" s="17">
        <f>IF($F452&lt;&gt;"OK","",INDEX(Cat_TMax,MATCH($C452,Cat_Nombre,0)))</f>
        <v/>
      </c>
      <c r="O452" s="18">
        <f>IF($F452&lt;&gt;"OK","",INDEX(Cat_POpus,MATCH($C452,Cat_Nombre,0)))</f>
        <v/>
      </c>
      <c r="P452" s="19">
        <f>IF($F452&lt;&gt;"OK","",M452/1000000*((1-O452)*UsdM_Sonnet+O452*UsdM_Opus))</f>
        <v/>
      </c>
      <c r="Q452" s="19">
        <f>IF($F452&lt;&gt;"OK","",N452/1000000*((1-O452)*UsdM_Sonnet+O452*UsdM_Opus))</f>
        <v/>
      </c>
      <c r="R452" s="19">
        <f>IF($F452&lt;&gt;"OK","",G452*TarifaHora)</f>
        <v/>
      </c>
      <c r="S452" s="19">
        <f>IF($F452&lt;&gt;"OK","",H452*TarifaHora)</f>
        <v/>
      </c>
      <c r="T452" s="10">
        <f>IF($F452&lt;&gt;"OK","",IF(COUNTIFS($A$2:$A452,$A452,$F$2:$F452,"OK")=1,MAX($T$1:$T451)+1,""))</f>
        <v/>
      </c>
    </row>
    <row r="453">
      <c r="A453" s="11" t="n"/>
      <c r="B453" s="11" t="n"/>
      <c r="C453" s="11" t="n"/>
      <c r="D453" s="11" t="n"/>
      <c r="E453" s="11" t="n"/>
      <c r="F453" s="10">
        <f>IF(AND($A453="",$B453="",$C453=""),"",IF($A453="","⚠ Falta hito",IF(ISNA(MATCH($C453,Cat_Nombre,0)),"⚠ Categoría inválida","OK")))</f>
        <v/>
      </c>
      <c r="G453" s="16">
        <f>IF($F453&lt;&gt;"OK","",IF(UPPER(TRIM($D453))="NO",INDEX(Cat_HMax,MATCH($C453,Cat_Nombre,0)),INDEX(Cat_HMin,MATCH($C453,Cat_Nombre,0))))</f>
        <v/>
      </c>
      <c r="H453" s="16">
        <f>IF($F453&lt;&gt;"OK","",INDEX(Cat_HMax,MATCH($C453,Cat_Nombre,0)))</f>
        <v/>
      </c>
      <c r="I453" s="16">
        <f>IF($F453&lt;&gt;"OK","",(G453+H453)/2)</f>
        <v/>
      </c>
      <c r="J453" s="16">
        <f>IF($F453&lt;&gt;"OK","",G453/HorasDia)</f>
        <v/>
      </c>
      <c r="K453" s="16">
        <f>IF($F453&lt;&gt;"OK","",I453/HorasDia)</f>
        <v/>
      </c>
      <c r="L453" s="16">
        <f>IF($F453&lt;&gt;"OK","",H453/HorasDia)</f>
        <v/>
      </c>
      <c r="M453" s="17">
        <f>IF($F453&lt;&gt;"OK","",IF(UPPER(TRIM($D453))="NO",INDEX(Cat_TMax,MATCH($C453,Cat_Nombre,0)),INDEX(Cat_TMin,MATCH($C453,Cat_Nombre,0))))</f>
        <v/>
      </c>
      <c r="N453" s="17">
        <f>IF($F453&lt;&gt;"OK","",INDEX(Cat_TMax,MATCH($C453,Cat_Nombre,0)))</f>
        <v/>
      </c>
      <c r="O453" s="18">
        <f>IF($F453&lt;&gt;"OK","",INDEX(Cat_POpus,MATCH($C453,Cat_Nombre,0)))</f>
        <v/>
      </c>
      <c r="P453" s="19">
        <f>IF($F453&lt;&gt;"OK","",M453/1000000*((1-O453)*UsdM_Sonnet+O453*UsdM_Opus))</f>
        <v/>
      </c>
      <c r="Q453" s="19">
        <f>IF($F453&lt;&gt;"OK","",N453/1000000*((1-O453)*UsdM_Sonnet+O453*UsdM_Opus))</f>
        <v/>
      </c>
      <c r="R453" s="19">
        <f>IF($F453&lt;&gt;"OK","",G453*TarifaHora)</f>
        <v/>
      </c>
      <c r="S453" s="19">
        <f>IF($F453&lt;&gt;"OK","",H453*TarifaHora)</f>
        <v/>
      </c>
      <c r="T453" s="10">
        <f>IF($F453&lt;&gt;"OK","",IF(COUNTIFS($A$2:$A453,$A453,$F$2:$F453,"OK")=1,MAX($T$1:$T452)+1,""))</f>
        <v/>
      </c>
    </row>
    <row r="454">
      <c r="A454" s="11" t="n"/>
      <c r="B454" s="11" t="n"/>
      <c r="C454" s="11" t="n"/>
      <c r="D454" s="11" t="n"/>
      <c r="E454" s="11" t="n"/>
      <c r="F454" s="10">
        <f>IF(AND($A454="",$B454="",$C454=""),"",IF($A454="","⚠ Falta hito",IF(ISNA(MATCH($C454,Cat_Nombre,0)),"⚠ Categoría inválida","OK")))</f>
        <v/>
      </c>
      <c r="G454" s="16">
        <f>IF($F454&lt;&gt;"OK","",IF(UPPER(TRIM($D454))="NO",INDEX(Cat_HMax,MATCH($C454,Cat_Nombre,0)),INDEX(Cat_HMin,MATCH($C454,Cat_Nombre,0))))</f>
        <v/>
      </c>
      <c r="H454" s="16">
        <f>IF($F454&lt;&gt;"OK","",INDEX(Cat_HMax,MATCH($C454,Cat_Nombre,0)))</f>
        <v/>
      </c>
      <c r="I454" s="16">
        <f>IF($F454&lt;&gt;"OK","",(G454+H454)/2)</f>
        <v/>
      </c>
      <c r="J454" s="16">
        <f>IF($F454&lt;&gt;"OK","",G454/HorasDia)</f>
        <v/>
      </c>
      <c r="K454" s="16">
        <f>IF($F454&lt;&gt;"OK","",I454/HorasDia)</f>
        <v/>
      </c>
      <c r="L454" s="16">
        <f>IF($F454&lt;&gt;"OK","",H454/HorasDia)</f>
        <v/>
      </c>
      <c r="M454" s="17">
        <f>IF($F454&lt;&gt;"OK","",IF(UPPER(TRIM($D454))="NO",INDEX(Cat_TMax,MATCH($C454,Cat_Nombre,0)),INDEX(Cat_TMin,MATCH($C454,Cat_Nombre,0))))</f>
        <v/>
      </c>
      <c r="N454" s="17">
        <f>IF($F454&lt;&gt;"OK","",INDEX(Cat_TMax,MATCH($C454,Cat_Nombre,0)))</f>
        <v/>
      </c>
      <c r="O454" s="18">
        <f>IF($F454&lt;&gt;"OK","",INDEX(Cat_POpus,MATCH($C454,Cat_Nombre,0)))</f>
        <v/>
      </c>
      <c r="P454" s="19">
        <f>IF($F454&lt;&gt;"OK","",M454/1000000*((1-O454)*UsdM_Sonnet+O454*UsdM_Opus))</f>
        <v/>
      </c>
      <c r="Q454" s="19">
        <f>IF($F454&lt;&gt;"OK","",N454/1000000*((1-O454)*UsdM_Sonnet+O454*UsdM_Opus))</f>
        <v/>
      </c>
      <c r="R454" s="19">
        <f>IF($F454&lt;&gt;"OK","",G454*TarifaHora)</f>
        <v/>
      </c>
      <c r="S454" s="19">
        <f>IF($F454&lt;&gt;"OK","",H454*TarifaHora)</f>
        <v/>
      </c>
      <c r="T454" s="10">
        <f>IF($F454&lt;&gt;"OK","",IF(COUNTIFS($A$2:$A454,$A454,$F$2:$F454,"OK")=1,MAX($T$1:$T453)+1,""))</f>
        <v/>
      </c>
    </row>
    <row r="455">
      <c r="A455" s="11" t="n"/>
      <c r="B455" s="11" t="n"/>
      <c r="C455" s="11" t="n"/>
      <c r="D455" s="11" t="n"/>
      <c r="E455" s="11" t="n"/>
      <c r="F455" s="10">
        <f>IF(AND($A455="",$B455="",$C455=""),"",IF($A455="","⚠ Falta hito",IF(ISNA(MATCH($C455,Cat_Nombre,0)),"⚠ Categoría inválida","OK")))</f>
        <v/>
      </c>
      <c r="G455" s="16">
        <f>IF($F455&lt;&gt;"OK","",IF(UPPER(TRIM($D455))="NO",INDEX(Cat_HMax,MATCH($C455,Cat_Nombre,0)),INDEX(Cat_HMin,MATCH($C455,Cat_Nombre,0))))</f>
        <v/>
      </c>
      <c r="H455" s="16">
        <f>IF($F455&lt;&gt;"OK","",INDEX(Cat_HMax,MATCH($C455,Cat_Nombre,0)))</f>
        <v/>
      </c>
      <c r="I455" s="16">
        <f>IF($F455&lt;&gt;"OK","",(G455+H455)/2)</f>
        <v/>
      </c>
      <c r="J455" s="16">
        <f>IF($F455&lt;&gt;"OK","",G455/HorasDia)</f>
        <v/>
      </c>
      <c r="K455" s="16">
        <f>IF($F455&lt;&gt;"OK","",I455/HorasDia)</f>
        <v/>
      </c>
      <c r="L455" s="16">
        <f>IF($F455&lt;&gt;"OK","",H455/HorasDia)</f>
        <v/>
      </c>
      <c r="M455" s="17">
        <f>IF($F455&lt;&gt;"OK","",IF(UPPER(TRIM($D455))="NO",INDEX(Cat_TMax,MATCH($C455,Cat_Nombre,0)),INDEX(Cat_TMin,MATCH($C455,Cat_Nombre,0))))</f>
        <v/>
      </c>
      <c r="N455" s="17">
        <f>IF($F455&lt;&gt;"OK","",INDEX(Cat_TMax,MATCH($C455,Cat_Nombre,0)))</f>
        <v/>
      </c>
      <c r="O455" s="18">
        <f>IF($F455&lt;&gt;"OK","",INDEX(Cat_POpus,MATCH($C455,Cat_Nombre,0)))</f>
        <v/>
      </c>
      <c r="P455" s="19">
        <f>IF($F455&lt;&gt;"OK","",M455/1000000*((1-O455)*UsdM_Sonnet+O455*UsdM_Opus))</f>
        <v/>
      </c>
      <c r="Q455" s="19">
        <f>IF($F455&lt;&gt;"OK","",N455/1000000*((1-O455)*UsdM_Sonnet+O455*UsdM_Opus))</f>
        <v/>
      </c>
      <c r="R455" s="19">
        <f>IF($F455&lt;&gt;"OK","",G455*TarifaHora)</f>
        <v/>
      </c>
      <c r="S455" s="19">
        <f>IF($F455&lt;&gt;"OK","",H455*TarifaHora)</f>
        <v/>
      </c>
      <c r="T455" s="10">
        <f>IF($F455&lt;&gt;"OK","",IF(COUNTIFS($A$2:$A455,$A455,$F$2:$F455,"OK")=1,MAX($T$1:$T454)+1,""))</f>
        <v/>
      </c>
    </row>
    <row r="456">
      <c r="A456" s="11" t="n"/>
      <c r="B456" s="11" t="n"/>
      <c r="C456" s="11" t="n"/>
      <c r="D456" s="11" t="n"/>
      <c r="E456" s="11" t="n"/>
      <c r="F456" s="10">
        <f>IF(AND($A456="",$B456="",$C456=""),"",IF($A456="","⚠ Falta hito",IF(ISNA(MATCH($C456,Cat_Nombre,0)),"⚠ Categoría inválida","OK")))</f>
        <v/>
      </c>
      <c r="G456" s="16">
        <f>IF($F456&lt;&gt;"OK","",IF(UPPER(TRIM($D456))="NO",INDEX(Cat_HMax,MATCH($C456,Cat_Nombre,0)),INDEX(Cat_HMin,MATCH($C456,Cat_Nombre,0))))</f>
        <v/>
      </c>
      <c r="H456" s="16">
        <f>IF($F456&lt;&gt;"OK","",INDEX(Cat_HMax,MATCH($C456,Cat_Nombre,0)))</f>
        <v/>
      </c>
      <c r="I456" s="16">
        <f>IF($F456&lt;&gt;"OK","",(G456+H456)/2)</f>
        <v/>
      </c>
      <c r="J456" s="16">
        <f>IF($F456&lt;&gt;"OK","",G456/HorasDia)</f>
        <v/>
      </c>
      <c r="K456" s="16">
        <f>IF($F456&lt;&gt;"OK","",I456/HorasDia)</f>
        <v/>
      </c>
      <c r="L456" s="16">
        <f>IF($F456&lt;&gt;"OK","",H456/HorasDia)</f>
        <v/>
      </c>
      <c r="M456" s="17">
        <f>IF($F456&lt;&gt;"OK","",IF(UPPER(TRIM($D456))="NO",INDEX(Cat_TMax,MATCH($C456,Cat_Nombre,0)),INDEX(Cat_TMin,MATCH($C456,Cat_Nombre,0))))</f>
        <v/>
      </c>
      <c r="N456" s="17">
        <f>IF($F456&lt;&gt;"OK","",INDEX(Cat_TMax,MATCH($C456,Cat_Nombre,0)))</f>
        <v/>
      </c>
      <c r="O456" s="18">
        <f>IF($F456&lt;&gt;"OK","",INDEX(Cat_POpus,MATCH($C456,Cat_Nombre,0)))</f>
        <v/>
      </c>
      <c r="P456" s="19">
        <f>IF($F456&lt;&gt;"OK","",M456/1000000*((1-O456)*UsdM_Sonnet+O456*UsdM_Opus))</f>
        <v/>
      </c>
      <c r="Q456" s="19">
        <f>IF($F456&lt;&gt;"OK","",N456/1000000*((1-O456)*UsdM_Sonnet+O456*UsdM_Opus))</f>
        <v/>
      </c>
      <c r="R456" s="19">
        <f>IF($F456&lt;&gt;"OK","",G456*TarifaHora)</f>
        <v/>
      </c>
      <c r="S456" s="19">
        <f>IF($F456&lt;&gt;"OK","",H456*TarifaHora)</f>
        <v/>
      </c>
      <c r="T456" s="10">
        <f>IF($F456&lt;&gt;"OK","",IF(COUNTIFS($A$2:$A456,$A456,$F$2:$F456,"OK")=1,MAX($T$1:$T455)+1,""))</f>
        <v/>
      </c>
    </row>
    <row r="457">
      <c r="A457" s="11" t="n"/>
      <c r="B457" s="11" t="n"/>
      <c r="C457" s="11" t="n"/>
      <c r="D457" s="11" t="n"/>
      <c r="E457" s="11" t="n"/>
      <c r="F457" s="10">
        <f>IF(AND($A457="",$B457="",$C457=""),"",IF($A457="","⚠ Falta hito",IF(ISNA(MATCH($C457,Cat_Nombre,0)),"⚠ Categoría inválida","OK")))</f>
        <v/>
      </c>
      <c r="G457" s="16">
        <f>IF($F457&lt;&gt;"OK","",IF(UPPER(TRIM($D457))="NO",INDEX(Cat_HMax,MATCH($C457,Cat_Nombre,0)),INDEX(Cat_HMin,MATCH($C457,Cat_Nombre,0))))</f>
        <v/>
      </c>
      <c r="H457" s="16">
        <f>IF($F457&lt;&gt;"OK","",INDEX(Cat_HMax,MATCH($C457,Cat_Nombre,0)))</f>
        <v/>
      </c>
      <c r="I457" s="16">
        <f>IF($F457&lt;&gt;"OK","",(G457+H457)/2)</f>
        <v/>
      </c>
      <c r="J457" s="16">
        <f>IF($F457&lt;&gt;"OK","",G457/HorasDia)</f>
        <v/>
      </c>
      <c r="K457" s="16">
        <f>IF($F457&lt;&gt;"OK","",I457/HorasDia)</f>
        <v/>
      </c>
      <c r="L457" s="16">
        <f>IF($F457&lt;&gt;"OK","",H457/HorasDia)</f>
        <v/>
      </c>
      <c r="M457" s="17">
        <f>IF($F457&lt;&gt;"OK","",IF(UPPER(TRIM($D457))="NO",INDEX(Cat_TMax,MATCH($C457,Cat_Nombre,0)),INDEX(Cat_TMin,MATCH($C457,Cat_Nombre,0))))</f>
        <v/>
      </c>
      <c r="N457" s="17">
        <f>IF($F457&lt;&gt;"OK","",INDEX(Cat_TMax,MATCH($C457,Cat_Nombre,0)))</f>
        <v/>
      </c>
      <c r="O457" s="18">
        <f>IF($F457&lt;&gt;"OK","",INDEX(Cat_POpus,MATCH($C457,Cat_Nombre,0)))</f>
        <v/>
      </c>
      <c r="P457" s="19">
        <f>IF($F457&lt;&gt;"OK","",M457/1000000*((1-O457)*UsdM_Sonnet+O457*UsdM_Opus))</f>
        <v/>
      </c>
      <c r="Q457" s="19">
        <f>IF($F457&lt;&gt;"OK","",N457/1000000*((1-O457)*UsdM_Sonnet+O457*UsdM_Opus))</f>
        <v/>
      </c>
      <c r="R457" s="19">
        <f>IF($F457&lt;&gt;"OK","",G457*TarifaHora)</f>
        <v/>
      </c>
      <c r="S457" s="19">
        <f>IF($F457&lt;&gt;"OK","",H457*TarifaHora)</f>
        <v/>
      </c>
      <c r="T457" s="10">
        <f>IF($F457&lt;&gt;"OK","",IF(COUNTIFS($A$2:$A457,$A457,$F$2:$F457,"OK")=1,MAX($T$1:$T456)+1,""))</f>
        <v/>
      </c>
    </row>
    <row r="458">
      <c r="A458" s="11" t="n"/>
      <c r="B458" s="11" t="n"/>
      <c r="C458" s="11" t="n"/>
      <c r="D458" s="11" t="n"/>
      <c r="E458" s="11" t="n"/>
      <c r="F458" s="10">
        <f>IF(AND($A458="",$B458="",$C458=""),"",IF($A458="","⚠ Falta hito",IF(ISNA(MATCH($C458,Cat_Nombre,0)),"⚠ Categoría inválida","OK")))</f>
        <v/>
      </c>
      <c r="G458" s="16">
        <f>IF($F458&lt;&gt;"OK","",IF(UPPER(TRIM($D458))="NO",INDEX(Cat_HMax,MATCH($C458,Cat_Nombre,0)),INDEX(Cat_HMin,MATCH($C458,Cat_Nombre,0))))</f>
        <v/>
      </c>
      <c r="H458" s="16">
        <f>IF($F458&lt;&gt;"OK","",INDEX(Cat_HMax,MATCH($C458,Cat_Nombre,0)))</f>
        <v/>
      </c>
      <c r="I458" s="16">
        <f>IF($F458&lt;&gt;"OK","",(G458+H458)/2)</f>
        <v/>
      </c>
      <c r="J458" s="16">
        <f>IF($F458&lt;&gt;"OK","",G458/HorasDia)</f>
        <v/>
      </c>
      <c r="K458" s="16">
        <f>IF($F458&lt;&gt;"OK","",I458/HorasDia)</f>
        <v/>
      </c>
      <c r="L458" s="16">
        <f>IF($F458&lt;&gt;"OK","",H458/HorasDia)</f>
        <v/>
      </c>
      <c r="M458" s="17">
        <f>IF($F458&lt;&gt;"OK","",IF(UPPER(TRIM($D458))="NO",INDEX(Cat_TMax,MATCH($C458,Cat_Nombre,0)),INDEX(Cat_TMin,MATCH($C458,Cat_Nombre,0))))</f>
        <v/>
      </c>
      <c r="N458" s="17">
        <f>IF($F458&lt;&gt;"OK","",INDEX(Cat_TMax,MATCH($C458,Cat_Nombre,0)))</f>
        <v/>
      </c>
      <c r="O458" s="18">
        <f>IF($F458&lt;&gt;"OK","",INDEX(Cat_POpus,MATCH($C458,Cat_Nombre,0)))</f>
        <v/>
      </c>
      <c r="P458" s="19">
        <f>IF($F458&lt;&gt;"OK","",M458/1000000*((1-O458)*UsdM_Sonnet+O458*UsdM_Opus))</f>
        <v/>
      </c>
      <c r="Q458" s="19">
        <f>IF($F458&lt;&gt;"OK","",N458/1000000*((1-O458)*UsdM_Sonnet+O458*UsdM_Opus))</f>
        <v/>
      </c>
      <c r="R458" s="19">
        <f>IF($F458&lt;&gt;"OK","",G458*TarifaHora)</f>
        <v/>
      </c>
      <c r="S458" s="19">
        <f>IF($F458&lt;&gt;"OK","",H458*TarifaHora)</f>
        <v/>
      </c>
      <c r="T458" s="10">
        <f>IF($F458&lt;&gt;"OK","",IF(COUNTIFS($A$2:$A458,$A458,$F$2:$F458,"OK")=1,MAX($T$1:$T457)+1,""))</f>
        <v/>
      </c>
    </row>
    <row r="459">
      <c r="A459" s="11" t="n"/>
      <c r="B459" s="11" t="n"/>
      <c r="C459" s="11" t="n"/>
      <c r="D459" s="11" t="n"/>
      <c r="E459" s="11" t="n"/>
      <c r="F459" s="10">
        <f>IF(AND($A459="",$B459="",$C459=""),"",IF($A459="","⚠ Falta hito",IF(ISNA(MATCH($C459,Cat_Nombre,0)),"⚠ Categoría inválida","OK")))</f>
        <v/>
      </c>
      <c r="G459" s="16">
        <f>IF($F459&lt;&gt;"OK","",IF(UPPER(TRIM($D459))="NO",INDEX(Cat_HMax,MATCH($C459,Cat_Nombre,0)),INDEX(Cat_HMin,MATCH($C459,Cat_Nombre,0))))</f>
        <v/>
      </c>
      <c r="H459" s="16">
        <f>IF($F459&lt;&gt;"OK","",INDEX(Cat_HMax,MATCH($C459,Cat_Nombre,0)))</f>
        <v/>
      </c>
      <c r="I459" s="16">
        <f>IF($F459&lt;&gt;"OK","",(G459+H459)/2)</f>
        <v/>
      </c>
      <c r="J459" s="16">
        <f>IF($F459&lt;&gt;"OK","",G459/HorasDia)</f>
        <v/>
      </c>
      <c r="K459" s="16">
        <f>IF($F459&lt;&gt;"OK","",I459/HorasDia)</f>
        <v/>
      </c>
      <c r="L459" s="16">
        <f>IF($F459&lt;&gt;"OK","",H459/HorasDia)</f>
        <v/>
      </c>
      <c r="M459" s="17">
        <f>IF($F459&lt;&gt;"OK","",IF(UPPER(TRIM($D459))="NO",INDEX(Cat_TMax,MATCH($C459,Cat_Nombre,0)),INDEX(Cat_TMin,MATCH($C459,Cat_Nombre,0))))</f>
        <v/>
      </c>
      <c r="N459" s="17">
        <f>IF($F459&lt;&gt;"OK","",INDEX(Cat_TMax,MATCH($C459,Cat_Nombre,0)))</f>
        <v/>
      </c>
      <c r="O459" s="18">
        <f>IF($F459&lt;&gt;"OK","",INDEX(Cat_POpus,MATCH($C459,Cat_Nombre,0)))</f>
        <v/>
      </c>
      <c r="P459" s="19">
        <f>IF($F459&lt;&gt;"OK","",M459/1000000*((1-O459)*UsdM_Sonnet+O459*UsdM_Opus))</f>
        <v/>
      </c>
      <c r="Q459" s="19">
        <f>IF($F459&lt;&gt;"OK","",N459/1000000*((1-O459)*UsdM_Sonnet+O459*UsdM_Opus))</f>
        <v/>
      </c>
      <c r="R459" s="19">
        <f>IF($F459&lt;&gt;"OK","",G459*TarifaHora)</f>
        <v/>
      </c>
      <c r="S459" s="19">
        <f>IF($F459&lt;&gt;"OK","",H459*TarifaHora)</f>
        <v/>
      </c>
      <c r="T459" s="10">
        <f>IF($F459&lt;&gt;"OK","",IF(COUNTIFS($A$2:$A459,$A459,$F$2:$F459,"OK")=1,MAX($T$1:$T458)+1,""))</f>
        <v/>
      </c>
    </row>
    <row r="460">
      <c r="A460" s="11" t="n"/>
      <c r="B460" s="11" t="n"/>
      <c r="C460" s="11" t="n"/>
      <c r="D460" s="11" t="n"/>
      <c r="E460" s="11" t="n"/>
      <c r="F460" s="10">
        <f>IF(AND($A460="",$B460="",$C460=""),"",IF($A460="","⚠ Falta hito",IF(ISNA(MATCH($C460,Cat_Nombre,0)),"⚠ Categoría inválida","OK")))</f>
        <v/>
      </c>
      <c r="G460" s="16">
        <f>IF($F460&lt;&gt;"OK","",IF(UPPER(TRIM($D460))="NO",INDEX(Cat_HMax,MATCH($C460,Cat_Nombre,0)),INDEX(Cat_HMin,MATCH($C460,Cat_Nombre,0))))</f>
        <v/>
      </c>
      <c r="H460" s="16">
        <f>IF($F460&lt;&gt;"OK","",INDEX(Cat_HMax,MATCH($C460,Cat_Nombre,0)))</f>
        <v/>
      </c>
      <c r="I460" s="16">
        <f>IF($F460&lt;&gt;"OK","",(G460+H460)/2)</f>
        <v/>
      </c>
      <c r="J460" s="16">
        <f>IF($F460&lt;&gt;"OK","",G460/HorasDia)</f>
        <v/>
      </c>
      <c r="K460" s="16">
        <f>IF($F460&lt;&gt;"OK","",I460/HorasDia)</f>
        <v/>
      </c>
      <c r="L460" s="16">
        <f>IF($F460&lt;&gt;"OK","",H460/HorasDia)</f>
        <v/>
      </c>
      <c r="M460" s="17">
        <f>IF($F460&lt;&gt;"OK","",IF(UPPER(TRIM($D460))="NO",INDEX(Cat_TMax,MATCH($C460,Cat_Nombre,0)),INDEX(Cat_TMin,MATCH($C460,Cat_Nombre,0))))</f>
        <v/>
      </c>
      <c r="N460" s="17">
        <f>IF($F460&lt;&gt;"OK","",INDEX(Cat_TMax,MATCH($C460,Cat_Nombre,0)))</f>
        <v/>
      </c>
      <c r="O460" s="18">
        <f>IF($F460&lt;&gt;"OK","",INDEX(Cat_POpus,MATCH($C460,Cat_Nombre,0)))</f>
        <v/>
      </c>
      <c r="P460" s="19">
        <f>IF($F460&lt;&gt;"OK","",M460/1000000*((1-O460)*UsdM_Sonnet+O460*UsdM_Opus))</f>
        <v/>
      </c>
      <c r="Q460" s="19">
        <f>IF($F460&lt;&gt;"OK","",N460/1000000*((1-O460)*UsdM_Sonnet+O460*UsdM_Opus))</f>
        <v/>
      </c>
      <c r="R460" s="19">
        <f>IF($F460&lt;&gt;"OK","",G460*TarifaHora)</f>
        <v/>
      </c>
      <c r="S460" s="19">
        <f>IF($F460&lt;&gt;"OK","",H460*TarifaHora)</f>
        <v/>
      </c>
      <c r="T460" s="10">
        <f>IF($F460&lt;&gt;"OK","",IF(COUNTIFS($A$2:$A460,$A460,$F$2:$F460,"OK")=1,MAX($T$1:$T459)+1,""))</f>
        <v/>
      </c>
    </row>
    <row r="461">
      <c r="A461" s="11" t="n"/>
      <c r="B461" s="11" t="n"/>
      <c r="C461" s="11" t="n"/>
      <c r="D461" s="11" t="n"/>
      <c r="E461" s="11" t="n"/>
      <c r="F461" s="10">
        <f>IF(AND($A461="",$B461="",$C461=""),"",IF($A461="","⚠ Falta hito",IF(ISNA(MATCH($C461,Cat_Nombre,0)),"⚠ Categoría inválida","OK")))</f>
        <v/>
      </c>
      <c r="G461" s="16">
        <f>IF($F461&lt;&gt;"OK","",IF(UPPER(TRIM($D461))="NO",INDEX(Cat_HMax,MATCH($C461,Cat_Nombre,0)),INDEX(Cat_HMin,MATCH($C461,Cat_Nombre,0))))</f>
        <v/>
      </c>
      <c r="H461" s="16">
        <f>IF($F461&lt;&gt;"OK","",INDEX(Cat_HMax,MATCH($C461,Cat_Nombre,0)))</f>
        <v/>
      </c>
      <c r="I461" s="16">
        <f>IF($F461&lt;&gt;"OK","",(G461+H461)/2)</f>
        <v/>
      </c>
      <c r="J461" s="16">
        <f>IF($F461&lt;&gt;"OK","",G461/HorasDia)</f>
        <v/>
      </c>
      <c r="K461" s="16">
        <f>IF($F461&lt;&gt;"OK","",I461/HorasDia)</f>
        <v/>
      </c>
      <c r="L461" s="16">
        <f>IF($F461&lt;&gt;"OK","",H461/HorasDia)</f>
        <v/>
      </c>
      <c r="M461" s="17">
        <f>IF($F461&lt;&gt;"OK","",IF(UPPER(TRIM($D461))="NO",INDEX(Cat_TMax,MATCH($C461,Cat_Nombre,0)),INDEX(Cat_TMin,MATCH($C461,Cat_Nombre,0))))</f>
        <v/>
      </c>
      <c r="N461" s="17">
        <f>IF($F461&lt;&gt;"OK","",INDEX(Cat_TMax,MATCH($C461,Cat_Nombre,0)))</f>
        <v/>
      </c>
      <c r="O461" s="18">
        <f>IF($F461&lt;&gt;"OK","",INDEX(Cat_POpus,MATCH($C461,Cat_Nombre,0)))</f>
        <v/>
      </c>
      <c r="P461" s="19">
        <f>IF($F461&lt;&gt;"OK","",M461/1000000*((1-O461)*UsdM_Sonnet+O461*UsdM_Opus))</f>
        <v/>
      </c>
      <c r="Q461" s="19">
        <f>IF($F461&lt;&gt;"OK","",N461/1000000*((1-O461)*UsdM_Sonnet+O461*UsdM_Opus))</f>
        <v/>
      </c>
      <c r="R461" s="19">
        <f>IF($F461&lt;&gt;"OK","",G461*TarifaHora)</f>
        <v/>
      </c>
      <c r="S461" s="19">
        <f>IF($F461&lt;&gt;"OK","",H461*TarifaHora)</f>
        <v/>
      </c>
      <c r="T461" s="10">
        <f>IF($F461&lt;&gt;"OK","",IF(COUNTIFS($A$2:$A461,$A461,$F$2:$F461,"OK")=1,MAX($T$1:$T460)+1,""))</f>
        <v/>
      </c>
    </row>
    <row r="462">
      <c r="A462" s="11" t="n"/>
      <c r="B462" s="11" t="n"/>
      <c r="C462" s="11" t="n"/>
      <c r="D462" s="11" t="n"/>
      <c r="E462" s="11" t="n"/>
      <c r="F462" s="10">
        <f>IF(AND($A462="",$B462="",$C462=""),"",IF($A462="","⚠ Falta hito",IF(ISNA(MATCH($C462,Cat_Nombre,0)),"⚠ Categoría inválida","OK")))</f>
        <v/>
      </c>
      <c r="G462" s="16">
        <f>IF($F462&lt;&gt;"OK","",IF(UPPER(TRIM($D462))="NO",INDEX(Cat_HMax,MATCH($C462,Cat_Nombre,0)),INDEX(Cat_HMin,MATCH($C462,Cat_Nombre,0))))</f>
        <v/>
      </c>
      <c r="H462" s="16">
        <f>IF($F462&lt;&gt;"OK","",INDEX(Cat_HMax,MATCH($C462,Cat_Nombre,0)))</f>
        <v/>
      </c>
      <c r="I462" s="16">
        <f>IF($F462&lt;&gt;"OK","",(G462+H462)/2)</f>
        <v/>
      </c>
      <c r="J462" s="16">
        <f>IF($F462&lt;&gt;"OK","",G462/HorasDia)</f>
        <v/>
      </c>
      <c r="K462" s="16">
        <f>IF($F462&lt;&gt;"OK","",I462/HorasDia)</f>
        <v/>
      </c>
      <c r="L462" s="16">
        <f>IF($F462&lt;&gt;"OK","",H462/HorasDia)</f>
        <v/>
      </c>
      <c r="M462" s="17">
        <f>IF($F462&lt;&gt;"OK","",IF(UPPER(TRIM($D462))="NO",INDEX(Cat_TMax,MATCH($C462,Cat_Nombre,0)),INDEX(Cat_TMin,MATCH($C462,Cat_Nombre,0))))</f>
        <v/>
      </c>
      <c r="N462" s="17">
        <f>IF($F462&lt;&gt;"OK","",INDEX(Cat_TMax,MATCH($C462,Cat_Nombre,0)))</f>
        <v/>
      </c>
      <c r="O462" s="18">
        <f>IF($F462&lt;&gt;"OK","",INDEX(Cat_POpus,MATCH($C462,Cat_Nombre,0)))</f>
        <v/>
      </c>
      <c r="P462" s="19">
        <f>IF($F462&lt;&gt;"OK","",M462/1000000*((1-O462)*UsdM_Sonnet+O462*UsdM_Opus))</f>
        <v/>
      </c>
      <c r="Q462" s="19">
        <f>IF($F462&lt;&gt;"OK","",N462/1000000*((1-O462)*UsdM_Sonnet+O462*UsdM_Opus))</f>
        <v/>
      </c>
      <c r="R462" s="19">
        <f>IF($F462&lt;&gt;"OK","",G462*TarifaHora)</f>
        <v/>
      </c>
      <c r="S462" s="19">
        <f>IF($F462&lt;&gt;"OK","",H462*TarifaHora)</f>
        <v/>
      </c>
      <c r="T462" s="10">
        <f>IF($F462&lt;&gt;"OK","",IF(COUNTIFS($A$2:$A462,$A462,$F$2:$F462,"OK")=1,MAX($T$1:$T461)+1,""))</f>
        <v/>
      </c>
    </row>
    <row r="463">
      <c r="A463" s="11" t="n"/>
      <c r="B463" s="11" t="n"/>
      <c r="C463" s="11" t="n"/>
      <c r="D463" s="11" t="n"/>
      <c r="E463" s="11" t="n"/>
      <c r="F463" s="10">
        <f>IF(AND($A463="",$B463="",$C463=""),"",IF($A463="","⚠ Falta hito",IF(ISNA(MATCH($C463,Cat_Nombre,0)),"⚠ Categoría inválida","OK")))</f>
        <v/>
      </c>
      <c r="G463" s="16">
        <f>IF($F463&lt;&gt;"OK","",IF(UPPER(TRIM($D463))="NO",INDEX(Cat_HMax,MATCH($C463,Cat_Nombre,0)),INDEX(Cat_HMin,MATCH($C463,Cat_Nombre,0))))</f>
        <v/>
      </c>
      <c r="H463" s="16">
        <f>IF($F463&lt;&gt;"OK","",INDEX(Cat_HMax,MATCH($C463,Cat_Nombre,0)))</f>
        <v/>
      </c>
      <c r="I463" s="16">
        <f>IF($F463&lt;&gt;"OK","",(G463+H463)/2)</f>
        <v/>
      </c>
      <c r="J463" s="16">
        <f>IF($F463&lt;&gt;"OK","",G463/HorasDia)</f>
        <v/>
      </c>
      <c r="K463" s="16">
        <f>IF($F463&lt;&gt;"OK","",I463/HorasDia)</f>
        <v/>
      </c>
      <c r="L463" s="16">
        <f>IF($F463&lt;&gt;"OK","",H463/HorasDia)</f>
        <v/>
      </c>
      <c r="M463" s="17">
        <f>IF($F463&lt;&gt;"OK","",IF(UPPER(TRIM($D463))="NO",INDEX(Cat_TMax,MATCH($C463,Cat_Nombre,0)),INDEX(Cat_TMin,MATCH($C463,Cat_Nombre,0))))</f>
        <v/>
      </c>
      <c r="N463" s="17">
        <f>IF($F463&lt;&gt;"OK","",INDEX(Cat_TMax,MATCH($C463,Cat_Nombre,0)))</f>
        <v/>
      </c>
      <c r="O463" s="18">
        <f>IF($F463&lt;&gt;"OK","",INDEX(Cat_POpus,MATCH($C463,Cat_Nombre,0)))</f>
        <v/>
      </c>
      <c r="P463" s="19">
        <f>IF($F463&lt;&gt;"OK","",M463/1000000*((1-O463)*UsdM_Sonnet+O463*UsdM_Opus))</f>
        <v/>
      </c>
      <c r="Q463" s="19">
        <f>IF($F463&lt;&gt;"OK","",N463/1000000*((1-O463)*UsdM_Sonnet+O463*UsdM_Opus))</f>
        <v/>
      </c>
      <c r="R463" s="19">
        <f>IF($F463&lt;&gt;"OK","",G463*TarifaHora)</f>
        <v/>
      </c>
      <c r="S463" s="19">
        <f>IF($F463&lt;&gt;"OK","",H463*TarifaHora)</f>
        <v/>
      </c>
      <c r="T463" s="10">
        <f>IF($F463&lt;&gt;"OK","",IF(COUNTIFS($A$2:$A463,$A463,$F$2:$F463,"OK")=1,MAX($T$1:$T462)+1,""))</f>
        <v/>
      </c>
    </row>
    <row r="464">
      <c r="A464" s="11" t="n"/>
      <c r="B464" s="11" t="n"/>
      <c r="C464" s="11" t="n"/>
      <c r="D464" s="11" t="n"/>
      <c r="E464" s="11" t="n"/>
      <c r="F464" s="10">
        <f>IF(AND($A464="",$B464="",$C464=""),"",IF($A464="","⚠ Falta hito",IF(ISNA(MATCH($C464,Cat_Nombre,0)),"⚠ Categoría inválida","OK")))</f>
        <v/>
      </c>
      <c r="G464" s="16">
        <f>IF($F464&lt;&gt;"OK","",IF(UPPER(TRIM($D464))="NO",INDEX(Cat_HMax,MATCH($C464,Cat_Nombre,0)),INDEX(Cat_HMin,MATCH($C464,Cat_Nombre,0))))</f>
        <v/>
      </c>
      <c r="H464" s="16">
        <f>IF($F464&lt;&gt;"OK","",INDEX(Cat_HMax,MATCH($C464,Cat_Nombre,0)))</f>
        <v/>
      </c>
      <c r="I464" s="16">
        <f>IF($F464&lt;&gt;"OK","",(G464+H464)/2)</f>
        <v/>
      </c>
      <c r="J464" s="16">
        <f>IF($F464&lt;&gt;"OK","",G464/HorasDia)</f>
        <v/>
      </c>
      <c r="K464" s="16">
        <f>IF($F464&lt;&gt;"OK","",I464/HorasDia)</f>
        <v/>
      </c>
      <c r="L464" s="16">
        <f>IF($F464&lt;&gt;"OK","",H464/HorasDia)</f>
        <v/>
      </c>
      <c r="M464" s="17">
        <f>IF($F464&lt;&gt;"OK","",IF(UPPER(TRIM($D464))="NO",INDEX(Cat_TMax,MATCH($C464,Cat_Nombre,0)),INDEX(Cat_TMin,MATCH($C464,Cat_Nombre,0))))</f>
        <v/>
      </c>
      <c r="N464" s="17">
        <f>IF($F464&lt;&gt;"OK","",INDEX(Cat_TMax,MATCH($C464,Cat_Nombre,0)))</f>
        <v/>
      </c>
      <c r="O464" s="18">
        <f>IF($F464&lt;&gt;"OK","",INDEX(Cat_POpus,MATCH($C464,Cat_Nombre,0)))</f>
        <v/>
      </c>
      <c r="P464" s="19">
        <f>IF($F464&lt;&gt;"OK","",M464/1000000*((1-O464)*UsdM_Sonnet+O464*UsdM_Opus))</f>
        <v/>
      </c>
      <c r="Q464" s="19">
        <f>IF($F464&lt;&gt;"OK","",N464/1000000*((1-O464)*UsdM_Sonnet+O464*UsdM_Opus))</f>
        <v/>
      </c>
      <c r="R464" s="19">
        <f>IF($F464&lt;&gt;"OK","",G464*TarifaHora)</f>
        <v/>
      </c>
      <c r="S464" s="19">
        <f>IF($F464&lt;&gt;"OK","",H464*TarifaHora)</f>
        <v/>
      </c>
      <c r="T464" s="10">
        <f>IF($F464&lt;&gt;"OK","",IF(COUNTIFS($A$2:$A464,$A464,$F$2:$F464,"OK")=1,MAX($T$1:$T463)+1,""))</f>
        <v/>
      </c>
    </row>
    <row r="465">
      <c r="A465" s="11" t="n"/>
      <c r="B465" s="11" t="n"/>
      <c r="C465" s="11" t="n"/>
      <c r="D465" s="11" t="n"/>
      <c r="E465" s="11" t="n"/>
      <c r="F465" s="10">
        <f>IF(AND($A465="",$B465="",$C465=""),"",IF($A465="","⚠ Falta hito",IF(ISNA(MATCH($C465,Cat_Nombre,0)),"⚠ Categoría inválida","OK")))</f>
        <v/>
      </c>
      <c r="G465" s="16">
        <f>IF($F465&lt;&gt;"OK","",IF(UPPER(TRIM($D465))="NO",INDEX(Cat_HMax,MATCH($C465,Cat_Nombre,0)),INDEX(Cat_HMin,MATCH($C465,Cat_Nombre,0))))</f>
        <v/>
      </c>
      <c r="H465" s="16">
        <f>IF($F465&lt;&gt;"OK","",INDEX(Cat_HMax,MATCH($C465,Cat_Nombre,0)))</f>
        <v/>
      </c>
      <c r="I465" s="16">
        <f>IF($F465&lt;&gt;"OK","",(G465+H465)/2)</f>
        <v/>
      </c>
      <c r="J465" s="16">
        <f>IF($F465&lt;&gt;"OK","",G465/HorasDia)</f>
        <v/>
      </c>
      <c r="K465" s="16">
        <f>IF($F465&lt;&gt;"OK","",I465/HorasDia)</f>
        <v/>
      </c>
      <c r="L465" s="16">
        <f>IF($F465&lt;&gt;"OK","",H465/HorasDia)</f>
        <v/>
      </c>
      <c r="M465" s="17">
        <f>IF($F465&lt;&gt;"OK","",IF(UPPER(TRIM($D465))="NO",INDEX(Cat_TMax,MATCH($C465,Cat_Nombre,0)),INDEX(Cat_TMin,MATCH($C465,Cat_Nombre,0))))</f>
        <v/>
      </c>
      <c r="N465" s="17">
        <f>IF($F465&lt;&gt;"OK","",INDEX(Cat_TMax,MATCH($C465,Cat_Nombre,0)))</f>
        <v/>
      </c>
      <c r="O465" s="18">
        <f>IF($F465&lt;&gt;"OK","",INDEX(Cat_POpus,MATCH($C465,Cat_Nombre,0)))</f>
        <v/>
      </c>
      <c r="P465" s="19">
        <f>IF($F465&lt;&gt;"OK","",M465/1000000*((1-O465)*UsdM_Sonnet+O465*UsdM_Opus))</f>
        <v/>
      </c>
      <c r="Q465" s="19">
        <f>IF($F465&lt;&gt;"OK","",N465/1000000*((1-O465)*UsdM_Sonnet+O465*UsdM_Opus))</f>
        <v/>
      </c>
      <c r="R465" s="19">
        <f>IF($F465&lt;&gt;"OK","",G465*TarifaHora)</f>
        <v/>
      </c>
      <c r="S465" s="19">
        <f>IF($F465&lt;&gt;"OK","",H465*TarifaHora)</f>
        <v/>
      </c>
      <c r="T465" s="10">
        <f>IF($F465&lt;&gt;"OK","",IF(COUNTIFS($A$2:$A465,$A465,$F$2:$F465,"OK")=1,MAX($T$1:$T464)+1,""))</f>
        <v/>
      </c>
    </row>
    <row r="466">
      <c r="A466" s="11" t="n"/>
      <c r="B466" s="11" t="n"/>
      <c r="C466" s="11" t="n"/>
      <c r="D466" s="11" t="n"/>
      <c r="E466" s="11" t="n"/>
      <c r="F466" s="10">
        <f>IF(AND($A466="",$B466="",$C466=""),"",IF($A466="","⚠ Falta hito",IF(ISNA(MATCH($C466,Cat_Nombre,0)),"⚠ Categoría inválida","OK")))</f>
        <v/>
      </c>
      <c r="G466" s="16">
        <f>IF($F466&lt;&gt;"OK","",IF(UPPER(TRIM($D466))="NO",INDEX(Cat_HMax,MATCH($C466,Cat_Nombre,0)),INDEX(Cat_HMin,MATCH($C466,Cat_Nombre,0))))</f>
        <v/>
      </c>
      <c r="H466" s="16">
        <f>IF($F466&lt;&gt;"OK","",INDEX(Cat_HMax,MATCH($C466,Cat_Nombre,0)))</f>
        <v/>
      </c>
      <c r="I466" s="16">
        <f>IF($F466&lt;&gt;"OK","",(G466+H466)/2)</f>
        <v/>
      </c>
      <c r="J466" s="16">
        <f>IF($F466&lt;&gt;"OK","",G466/HorasDia)</f>
        <v/>
      </c>
      <c r="K466" s="16">
        <f>IF($F466&lt;&gt;"OK","",I466/HorasDia)</f>
        <v/>
      </c>
      <c r="L466" s="16">
        <f>IF($F466&lt;&gt;"OK","",H466/HorasDia)</f>
        <v/>
      </c>
      <c r="M466" s="17">
        <f>IF($F466&lt;&gt;"OK","",IF(UPPER(TRIM($D466))="NO",INDEX(Cat_TMax,MATCH($C466,Cat_Nombre,0)),INDEX(Cat_TMin,MATCH($C466,Cat_Nombre,0))))</f>
        <v/>
      </c>
      <c r="N466" s="17">
        <f>IF($F466&lt;&gt;"OK","",INDEX(Cat_TMax,MATCH($C466,Cat_Nombre,0)))</f>
        <v/>
      </c>
      <c r="O466" s="18">
        <f>IF($F466&lt;&gt;"OK","",INDEX(Cat_POpus,MATCH($C466,Cat_Nombre,0)))</f>
        <v/>
      </c>
      <c r="P466" s="19">
        <f>IF($F466&lt;&gt;"OK","",M466/1000000*((1-O466)*UsdM_Sonnet+O466*UsdM_Opus))</f>
        <v/>
      </c>
      <c r="Q466" s="19">
        <f>IF($F466&lt;&gt;"OK","",N466/1000000*((1-O466)*UsdM_Sonnet+O466*UsdM_Opus))</f>
        <v/>
      </c>
      <c r="R466" s="19">
        <f>IF($F466&lt;&gt;"OK","",G466*TarifaHora)</f>
        <v/>
      </c>
      <c r="S466" s="19">
        <f>IF($F466&lt;&gt;"OK","",H466*TarifaHora)</f>
        <v/>
      </c>
      <c r="T466" s="10">
        <f>IF($F466&lt;&gt;"OK","",IF(COUNTIFS($A$2:$A466,$A466,$F$2:$F466,"OK")=1,MAX($T$1:$T465)+1,""))</f>
        <v/>
      </c>
    </row>
    <row r="467">
      <c r="A467" s="11" t="n"/>
      <c r="B467" s="11" t="n"/>
      <c r="C467" s="11" t="n"/>
      <c r="D467" s="11" t="n"/>
      <c r="E467" s="11" t="n"/>
      <c r="F467" s="10">
        <f>IF(AND($A467="",$B467="",$C467=""),"",IF($A467="","⚠ Falta hito",IF(ISNA(MATCH($C467,Cat_Nombre,0)),"⚠ Categoría inválida","OK")))</f>
        <v/>
      </c>
      <c r="G467" s="16">
        <f>IF($F467&lt;&gt;"OK","",IF(UPPER(TRIM($D467))="NO",INDEX(Cat_HMax,MATCH($C467,Cat_Nombre,0)),INDEX(Cat_HMin,MATCH($C467,Cat_Nombre,0))))</f>
        <v/>
      </c>
      <c r="H467" s="16">
        <f>IF($F467&lt;&gt;"OK","",INDEX(Cat_HMax,MATCH($C467,Cat_Nombre,0)))</f>
        <v/>
      </c>
      <c r="I467" s="16">
        <f>IF($F467&lt;&gt;"OK","",(G467+H467)/2)</f>
        <v/>
      </c>
      <c r="J467" s="16">
        <f>IF($F467&lt;&gt;"OK","",G467/HorasDia)</f>
        <v/>
      </c>
      <c r="K467" s="16">
        <f>IF($F467&lt;&gt;"OK","",I467/HorasDia)</f>
        <v/>
      </c>
      <c r="L467" s="16">
        <f>IF($F467&lt;&gt;"OK","",H467/HorasDia)</f>
        <v/>
      </c>
      <c r="M467" s="17">
        <f>IF($F467&lt;&gt;"OK","",IF(UPPER(TRIM($D467))="NO",INDEX(Cat_TMax,MATCH($C467,Cat_Nombre,0)),INDEX(Cat_TMin,MATCH($C467,Cat_Nombre,0))))</f>
        <v/>
      </c>
      <c r="N467" s="17">
        <f>IF($F467&lt;&gt;"OK","",INDEX(Cat_TMax,MATCH($C467,Cat_Nombre,0)))</f>
        <v/>
      </c>
      <c r="O467" s="18">
        <f>IF($F467&lt;&gt;"OK","",INDEX(Cat_POpus,MATCH($C467,Cat_Nombre,0)))</f>
        <v/>
      </c>
      <c r="P467" s="19">
        <f>IF($F467&lt;&gt;"OK","",M467/1000000*((1-O467)*UsdM_Sonnet+O467*UsdM_Opus))</f>
        <v/>
      </c>
      <c r="Q467" s="19">
        <f>IF($F467&lt;&gt;"OK","",N467/1000000*((1-O467)*UsdM_Sonnet+O467*UsdM_Opus))</f>
        <v/>
      </c>
      <c r="R467" s="19">
        <f>IF($F467&lt;&gt;"OK","",G467*TarifaHora)</f>
        <v/>
      </c>
      <c r="S467" s="19">
        <f>IF($F467&lt;&gt;"OK","",H467*TarifaHora)</f>
        <v/>
      </c>
      <c r="T467" s="10">
        <f>IF($F467&lt;&gt;"OK","",IF(COUNTIFS($A$2:$A467,$A467,$F$2:$F467,"OK")=1,MAX($T$1:$T466)+1,""))</f>
        <v/>
      </c>
    </row>
    <row r="468">
      <c r="A468" s="11" t="n"/>
      <c r="B468" s="11" t="n"/>
      <c r="C468" s="11" t="n"/>
      <c r="D468" s="11" t="n"/>
      <c r="E468" s="11" t="n"/>
      <c r="F468" s="10">
        <f>IF(AND($A468="",$B468="",$C468=""),"",IF($A468="","⚠ Falta hito",IF(ISNA(MATCH($C468,Cat_Nombre,0)),"⚠ Categoría inválida","OK")))</f>
        <v/>
      </c>
      <c r="G468" s="16">
        <f>IF($F468&lt;&gt;"OK","",IF(UPPER(TRIM($D468))="NO",INDEX(Cat_HMax,MATCH($C468,Cat_Nombre,0)),INDEX(Cat_HMin,MATCH($C468,Cat_Nombre,0))))</f>
        <v/>
      </c>
      <c r="H468" s="16">
        <f>IF($F468&lt;&gt;"OK","",INDEX(Cat_HMax,MATCH($C468,Cat_Nombre,0)))</f>
        <v/>
      </c>
      <c r="I468" s="16">
        <f>IF($F468&lt;&gt;"OK","",(G468+H468)/2)</f>
        <v/>
      </c>
      <c r="J468" s="16">
        <f>IF($F468&lt;&gt;"OK","",G468/HorasDia)</f>
        <v/>
      </c>
      <c r="K468" s="16">
        <f>IF($F468&lt;&gt;"OK","",I468/HorasDia)</f>
        <v/>
      </c>
      <c r="L468" s="16">
        <f>IF($F468&lt;&gt;"OK","",H468/HorasDia)</f>
        <v/>
      </c>
      <c r="M468" s="17">
        <f>IF($F468&lt;&gt;"OK","",IF(UPPER(TRIM($D468))="NO",INDEX(Cat_TMax,MATCH($C468,Cat_Nombre,0)),INDEX(Cat_TMin,MATCH($C468,Cat_Nombre,0))))</f>
        <v/>
      </c>
      <c r="N468" s="17">
        <f>IF($F468&lt;&gt;"OK","",INDEX(Cat_TMax,MATCH($C468,Cat_Nombre,0)))</f>
        <v/>
      </c>
      <c r="O468" s="18">
        <f>IF($F468&lt;&gt;"OK","",INDEX(Cat_POpus,MATCH($C468,Cat_Nombre,0)))</f>
        <v/>
      </c>
      <c r="P468" s="19">
        <f>IF($F468&lt;&gt;"OK","",M468/1000000*((1-O468)*UsdM_Sonnet+O468*UsdM_Opus))</f>
        <v/>
      </c>
      <c r="Q468" s="19">
        <f>IF($F468&lt;&gt;"OK","",N468/1000000*((1-O468)*UsdM_Sonnet+O468*UsdM_Opus))</f>
        <v/>
      </c>
      <c r="R468" s="19">
        <f>IF($F468&lt;&gt;"OK","",G468*TarifaHora)</f>
        <v/>
      </c>
      <c r="S468" s="19">
        <f>IF($F468&lt;&gt;"OK","",H468*TarifaHora)</f>
        <v/>
      </c>
      <c r="T468" s="10">
        <f>IF($F468&lt;&gt;"OK","",IF(COUNTIFS($A$2:$A468,$A468,$F$2:$F468,"OK")=1,MAX($T$1:$T467)+1,""))</f>
        <v/>
      </c>
    </row>
    <row r="469">
      <c r="A469" s="11" t="n"/>
      <c r="B469" s="11" t="n"/>
      <c r="C469" s="11" t="n"/>
      <c r="D469" s="11" t="n"/>
      <c r="E469" s="11" t="n"/>
      <c r="F469" s="10">
        <f>IF(AND($A469="",$B469="",$C469=""),"",IF($A469="","⚠ Falta hito",IF(ISNA(MATCH($C469,Cat_Nombre,0)),"⚠ Categoría inválida","OK")))</f>
        <v/>
      </c>
      <c r="G469" s="16">
        <f>IF($F469&lt;&gt;"OK","",IF(UPPER(TRIM($D469))="NO",INDEX(Cat_HMax,MATCH($C469,Cat_Nombre,0)),INDEX(Cat_HMin,MATCH($C469,Cat_Nombre,0))))</f>
        <v/>
      </c>
      <c r="H469" s="16">
        <f>IF($F469&lt;&gt;"OK","",INDEX(Cat_HMax,MATCH($C469,Cat_Nombre,0)))</f>
        <v/>
      </c>
      <c r="I469" s="16">
        <f>IF($F469&lt;&gt;"OK","",(G469+H469)/2)</f>
        <v/>
      </c>
      <c r="J469" s="16">
        <f>IF($F469&lt;&gt;"OK","",G469/HorasDia)</f>
        <v/>
      </c>
      <c r="K469" s="16">
        <f>IF($F469&lt;&gt;"OK","",I469/HorasDia)</f>
        <v/>
      </c>
      <c r="L469" s="16">
        <f>IF($F469&lt;&gt;"OK","",H469/HorasDia)</f>
        <v/>
      </c>
      <c r="M469" s="17">
        <f>IF($F469&lt;&gt;"OK","",IF(UPPER(TRIM($D469))="NO",INDEX(Cat_TMax,MATCH($C469,Cat_Nombre,0)),INDEX(Cat_TMin,MATCH($C469,Cat_Nombre,0))))</f>
        <v/>
      </c>
      <c r="N469" s="17">
        <f>IF($F469&lt;&gt;"OK","",INDEX(Cat_TMax,MATCH($C469,Cat_Nombre,0)))</f>
        <v/>
      </c>
      <c r="O469" s="18">
        <f>IF($F469&lt;&gt;"OK","",INDEX(Cat_POpus,MATCH($C469,Cat_Nombre,0)))</f>
        <v/>
      </c>
      <c r="P469" s="19">
        <f>IF($F469&lt;&gt;"OK","",M469/1000000*((1-O469)*UsdM_Sonnet+O469*UsdM_Opus))</f>
        <v/>
      </c>
      <c r="Q469" s="19">
        <f>IF($F469&lt;&gt;"OK","",N469/1000000*((1-O469)*UsdM_Sonnet+O469*UsdM_Opus))</f>
        <v/>
      </c>
      <c r="R469" s="19">
        <f>IF($F469&lt;&gt;"OK","",G469*TarifaHora)</f>
        <v/>
      </c>
      <c r="S469" s="19">
        <f>IF($F469&lt;&gt;"OK","",H469*TarifaHora)</f>
        <v/>
      </c>
      <c r="T469" s="10">
        <f>IF($F469&lt;&gt;"OK","",IF(COUNTIFS($A$2:$A469,$A469,$F$2:$F469,"OK")=1,MAX($T$1:$T468)+1,""))</f>
        <v/>
      </c>
    </row>
    <row r="470">
      <c r="A470" s="11" t="n"/>
      <c r="B470" s="11" t="n"/>
      <c r="C470" s="11" t="n"/>
      <c r="D470" s="11" t="n"/>
      <c r="E470" s="11" t="n"/>
      <c r="F470" s="10">
        <f>IF(AND($A470="",$B470="",$C470=""),"",IF($A470="","⚠ Falta hito",IF(ISNA(MATCH($C470,Cat_Nombre,0)),"⚠ Categoría inválida","OK")))</f>
        <v/>
      </c>
      <c r="G470" s="16">
        <f>IF($F470&lt;&gt;"OK","",IF(UPPER(TRIM($D470))="NO",INDEX(Cat_HMax,MATCH($C470,Cat_Nombre,0)),INDEX(Cat_HMin,MATCH($C470,Cat_Nombre,0))))</f>
        <v/>
      </c>
      <c r="H470" s="16">
        <f>IF($F470&lt;&gt;"OK","",INDEX(Cat_HMax,MATCH($C470,Cat_Nombre,0)))</f>
        <v/>
      </c>
      <c r="I470" s="16">
        <f>IF($F470&lt;&gt;"OK","",(G470+H470)/2)</f>
        <v/>
      </c>
      <c r="J470" s="16">
        <f>IF($F470&lt;&gt;"OK","",G470/HorasDia)</f>
        <v/>
      </c>
      <c r="K470" s="16">
        <f>IF($F470&lt;&gt;"OK","",I470/HorasDia)</f>
        <v/>
      </c>
      <c r="L470" s="16">
        <f>IF($F470&lt;&gt;"OK","",H470/HorasDia)</f>
        <v/>
      </c>
      <c r="M470" s="17">
        <f>IF($F470&lt;&gt;"OK","",IF(UPPER(TRIM($D470))="NO",INDEX(Cat_TMax,MATCH($C470,Cat_Nombre,0)),INDEX(Cat_TMin,MATCH($C470,Cat_Nombre,0))))</f>
        <v/>
      </c>
      <c r="N470" s="17">
        <f>IF($F470&lt;&gt;"OK","",INDEX(Cat_TMax,MATCH($C470,Cat_Nombre,0)))</f>
        <v/>
      </c>
      <c r="O470" s="18">
        <f>IF($F470&lt;&gt;"OK","",INDEX(Cat_POpus,MATCH($C470,Cat_Nombre,0)))</f>
        <v/>
      </c>
      <c r="P470" s="19">
        <f>IF($F470&lt;&gt;"OK","",M470/1000000*((1-O470)*UsdM_Sonnet+O470*UsdM_Opus))</f>
        <v/>
      </c>
      <c r="Q470" s="19">
        <f>IF($F470&lt;&gt;"OK","",N470/1000000*((1-O470)*UsdM_Sonnet+O470*UsdM_Opus))</f>
        <v/>
      </c>
      <c r="R470" s="19">
        <f>IF($F470&lt;&gt;"OK","",G470*TarifaHora)</f>
        <v/>
      </c>
      <c r="S470" s="19">
        <f>IF($F470&lt;&gt;"OK","",H470*TarifaHora)</f>
        <v/>
      </c>
      <c r="T470" s="10">
        <f>IF($F470&lt;&gt;"OK","",IF(COUNTIFS($A$2:$A470,$A470,$F$2:$F470,"OK")=1,MAX($T$1:$T469)+1,""))</f>
        <v/>
      </c>
    </row>
    <row r="471">
      <c r="A471" s="11" t="n"/>
      <c r="B471" s="11" t="n"/>
      <c r="C471" s="11" t="n"/>
      <c r="D471" s="11" t="n"/>
      <c r="E471" s="11" t="n"/>
      <c r="F471" s="10">
        <f>IF(AND($A471="",$B471="",$C471=""),"",IF($A471="","⚠ Falta hito",IF(ISNA(MATCH($C471,Cat_Nombre,0)),"⚠ Categoría inválida","OK")))</f>
        <v/>
      </c>
      <c r="G471" s="16">
        <f>IF($F471&lt;&gt;"OK","",IF(UPPER(TRIM($D471))="NO",INDEX(Cat_HMax,MATCH($C471,Cat_Nombre,0)),INDEX(Cat_HMin,MATCH($C471,Cat_Nombre,0))))</f>
        <v/>
      </c>
      <c r="H471" s="16">
        <f>IF($F471&lt;&gt;"OK","",INDEX(Cat_HMax,MATCH($C471,Cat_Nombre,0)))</f>
        <v/>
      </c>
      <c r="I471" s="16">
        <f>IF($F471&lt;&gt;"OK","",(G471+H471)/2)</f>
        <v/>
      </c>
      <c r="J471" s="16">
        <f>IF($F471&lt;&gt;"OK","",G471/HorasDia)</f>
        <v/>
      </c>
      <c r="K471" s="16">
        <f>IF($F471&lt;&gt;"OK","",I471/HorasDia)</f>
        <v/>
      </c>
      <c r="L471" s="16">
        <f>IF($F471&lt;&gt;"OK","",H471/HorasDia)</f>
        <v/>
      </c>
      <c r="M471" s="17">
        <f>IF($F471&lt;&gt;"OK","",IF(UPPER(TRIM($D471))="NO",INDEX(Cat_TMax,MATCH($C471,Cat_Nombre,0)),INDEX(Cat_TMin,MATCH($C471,Cat_Nombre,0))))</f>
        <v/>
      </c>
      <c r="N471" s="17">
        <f>IF($F471&lt;&gt;"OK","",INDEX(Cat_TMax,MATCH($C471,Cat_Nombre,0)))</f>
        <v/>
      </c>
      <c r="O471" s="18">
        <f>IF($F471&lt;&gt;"OK","",INDEX(Cat_POpus,MATCH($C471,Cat_Nombre,0)))</f>
        <v/>
      </c>
      <c r="P471" s="19">
        <f>IF($F471&lt;&gt;"OK","",M471/1000000*((1-O471)*UsdM_Sonnet+O471*UsdM_Opus))</f>
        <v/>
      </c>
      <c r="Q471" s="19">
        <f>IF($F471&lt;&gt;"OK","",N471/1000000*((1-O471)*UsdM_Sonnet+O471*UsdM_Opus))</f>
        <v/>
      </c>
      <c r="R471" s="19">
        <f>IF($F471&lt;&gt;"OK","",G471*TarifaHora)</f>
        <v/>
      </c>
      <c r="S471" s="19">
        <f>IF($F471&lt;&gt;"OK","",H471*TarifaHora)</f>
        <v/>
      </c>
      <c r="T471" s="10">
        <f>IF($F471&lt;&gt;"OK","",IF(COUNTIFS($A$2:$A471,$A471,$F$2:$F471,"OK")=1,MAX($T$1:$T470)+1,""))</f>
        <v/>
      </c>
    </row>
    <row r="472">
      <c r="A472" s="11" t="n"/>
      <c r="B472" s="11" t="n"/>
      <c r="C472" s="11" t="n"/>
      <c r="D472" s="11" t="n"/>
      <c r="E472" s="11" t="n"/>
      <c r="F472" s="10">
        <f>IF(AND($A472="",$B472="",$C472=""),"",IF($A472="","⚠ Falta hito",IF(ISNA(MATCH($C472,Cat_Nombre,0)),"⚠ Categoría inválida","OK")))</f>
        <v/>
      </c>
      <c r="G472" s="16">
        <f>IF($F472&lt;&gt;"OK","",IF(UPPER(TRIM($D472))="NO",INDEX(Cat_HMax,MATCH($C472,Cat_Nombre,0)),INDEX(Cat_HMin,MATCH($C472,Cat_Nombre,0))))</f>
        <v/>
      </c>
      <c r="H472" s="16">
        <f>IF($F472&lt;&gt;"OK","",INDEX(Cat_HMax,MATCH($C472,Cat_Nombre,0)))</f>
        <v/>
      </c>
      <c r="I472" s="16">
        <f>IF($F472&lt;&gt;"OK","",(G472+H472)/2)</f>
        <v/>
      </c>
      <c r="J472" s="16">
        <f>IF($F472&lt;&gt;"OK","",G472/HorasDia)</f>
        <v/>
      </c>
      <c r="K472" s="16">
        <f>IF($F472&lt;&gt;"OK","",I472/HorasDia)</f>
        <v/>
      </c>
      <c r="L472" s="16">
        <f>IF($F472&lt;&gt;"OK","",H472/HorasDia)</f>
        <v/>
      </c>
      <c r="M472" s="17">
        <f>IF($F472&lt;&gt;"OK","",IF(UPPER(TRIM($D472))="NO",INDEX(Cat_TMax,MATCH($C472,Cat_Nombre,0)),INDEX(Cat_TMin,MATCH($C472,Cat_Nombre,0))))</f>
        <v/>
      </c>
      <c r="N472" s="17">
        <f>IF($F472&lt;&gt;"OK","",INDEX(Cat_TMax,MATCH($C472,Cat_Nombre,0)))</f>
        <v/>
      </c>
      <c r="O472" s="18">
        <f>IF($F472&lt;&gt;"OK","",INDEX(Cat_POpus,MATCH($C472,Cat_Nombre,0)))</f>
        <v/>
      </c>
      <c r="P472" s="19">
        <f>IF($F472&lt;&gt;"OK","",M472/1000000*((1-O472)*UsdM_Sonnet+O472*UsdM_Opus))</f>
        <v/>
      </c>
      <c r="Q472" s="19">
        <f>IF($F472&lt;&gt;"OK","",N472/1000000*((1-O472)*UsdM_Sonnet+O472*UsdM_Opus))</f>
        <v/>
      </c>
      <c r="R472" s="19">
        <f>IF($F472&lt;&gt;"OK","",G472*TarifaHora)</f>
        <v/>
      </c>
      <c r="S472" s="19">
        <f>IF($F472&lt;&gt;"OK","",H472*TarifaHora)</f>
        <v/>
      </c>
      <c r="T472" s="10">
        <f>IF($F472&lt;&gt;"OK","",IF(COUNTIFS($A$2:$A472,$A472,$F$2:$F472,"OK")=1,MAX($T$1:$T471)+1,""))</f>
        <v/>
      </c>
    </row>
    <row r="473">
      <c r="A473" s="11" t="n"/>
      <c r="B473" s="11" t="n"/>
      <c r="C473" s="11" t="n"/>
      <c r="D473" s="11" t="n"/>
      <c r="E473" s="11" t="n"/>
      <c r="F473" s="10">
        <f>IF(AND($A473="",$B473="",$C473=""),"",IF($A473="","⚠ Falta hito",IF(ISNA(MATCH($C473,Cat_Nombre,0)),"⚠ Categoría inválida","OK")))</f>
        <v/>
      </c>
      <c r="G473" s="16">
        <f>IF($F473&lt;&gt;"OK","",IF(UPPER(TRIM($D473))="NO",INDEX(Cat_HMax,MATCH($C473,Cat_Nombre,0)),INDEX(Cat_HMin,MATCH($C473,Cat_Nombre,0))))</f>
        <v/>
      </c>
      <c r="H473" s="16">
        <f>IF($F473&lt;&gt;"OK","",INDEX(Cat_HMax,MATCH($C473,Cat_Nombre,0)))</f>
        <v/>
      </c>
      <c r="I473" s="16">
        <f>IF($F473&lt;&gt;"OK","",(G473+H473)/2)</f>
        <v/>
      </c>
      <c r="J473" s="16">
        <f>IF($F473&lt;&gt;"OK","",G473/HorasDia)</f>
        <v/>
      </c>
      <c r="K473" s="16">
        <f>IF($F473&lt;&gt;"OK","",I473/HorasDia)</f>
        <v/>
      </c>
      <c r="L473" s="16">
        <f>IF($F473&lt;&gt;"OK","",H473/HorasDia)</f>
        <v/>
      </c>
      <c r="M473" s="17">
        <f>IF($F473&lt;&gt;"OK","",IF(UPPER(TRIM($D473))="NO",INDEX(Cat_TMax,MATCH($C473,Cat_Nombre,0)),INDEX(Cat_TMin,MATCH($C473,Cat_Nombre,0))))</f>
        <v/>
      </c>
      <c r="N473" s="17">
        <f>IF($F473&lt;&gt;"OK","",INDEX(Cat_TMax,MATCH($C473,Cat_Nombre,0)))</f>
        <v/>
      </c>
      <c r="O473" s="18">
        <f>IF($F473&lt;&gt;"OK","",INDEX(Cat_POpus,MATCH($C473,Cat_Nombre,0)))</f>
        <v/>
      </c>
      <c r="P473" s="19">
        <f>IF($F473&lt;&gt;"OK","",M473/1000000*((1-O473)*UsdM_Sonnet+O473*UsdM_Opus))</f>
        <v/>
      </c>
      <c r="Q473" s="19">
        <f>IF($F473&lt;&gt;"OK","",N473/1000000*((1-O473)*UsdM_Sonnet+O473*UsdM_Opus))</f>
        <v/>
      </c>
      <c r="R473" s="19">
        <f>IF($F473&lt;&gt;"OK","",G473*TarifaHora)</f>
        <v/>
      </c>
      <c r="S473" s="19">
        <f>IF($F473&lt;&gt;"OK","",H473*TarifaHora)</f>
        <v/>
      </c>
      <c r="T473" s="10">
        <f>IF($F473&lt;&gt;"OK","",IF(COUNTIFS($A$2:$A473,$A473,$F$2:$F473,"OK")=1,MAX($T$1:$T472)+1,""))</f>
        <v/>
      </c>
    </row>
    <row r="474">
      <c r="A474" s="11" t="n"/>
      <c r="B474" s="11" t="n"/>
      <c r="C474" s="11" t="n"/>
      <c r="D474" s="11" t="n"/>
      <c r="E474" s="11" t="n"/>
      <c r="F474" s="10">
        <f>IF(AND($A474="",$B474="",$C474=""),"",IF($A474="","⚠ Falta hito",IF(ISNA(MATCH($C474,Cat_Nombre,0)),"⚠ Categoría inválida","OK")))</f>
        <v/>
      </c>
      <c r="G474" s="16">
        <f>IF($F474&lt;&gt;"OK","",IF(UPPER(TRIM($D474))="NO",INDEX(Cat_HMax,MATCH($C474,Cat_Nombre,0)),INDEX(Cat_HMin,MATCH($C474,Cat_Nombre,0))))</f>
        <v/>
      </c>
      <c r="H474" s="16">
        <f>IF($F474&lt;&gt;"OK","",INDEX(Cat_HMax,MATCH($C474,Cat_Nombre,0)))</f>
        <v/>
      </c>
      <c r="I474" s="16">
        <f>IF($F474&lt;&gt;"OK","",(G474+H474)/2)</f>
        <v/>
      </c>
      <c r="J474" s="16">
        <f>IF($F474&lt;&gt;"OK","",G474/HorasDia)</f>
        <v/>
      </c>
      <c r="K474" s="16">
        <f>IF($F474&lt;&gt;"OK","",I474/HorasDia)</f>
        <v/>
      </c>
      <c r="L474" s="16">
        <f>IF($F474&lt;&gt;"OK","",H474/HorasDia)</f>
        <v/>
      </c>
      <c r="M474" s="17">
        <f>IF($F474&lt;&gt;"OK","",IF(UPPER(TRIM($D474))="NO",INDEX(Cat_TMax,MATCH($C474,Cat_Nombre,0)),INDEX(Cat_TMin,MATCH($C474,Cat_Nombre,0))))</f>
        <v/>
      </c>
      <c r="N474" s="17">
        <f>IF($F474&lt;&gt;"OK","",INDEX(Cat_TMax,MATCH($C474,Cat_Nombre,0)))</f>
        <v/>
      </c>
      <c r="O474" s="18">
        <f>IF($F474&lt;&gt;"OK","",INDEX(Cat_POpus,MATCH($C474,Cat_Nombre,0)))</f>
        <v/>
      </c>
      <c r="P474" s="19">
        <f>IF($F474&lt;&gt;"OK","",M474/1000000*((1-O474)*UsdM_Sonnet+O474*UsdM_Opus))</f>
        <v/>
      </c>
      <c r="Q474" s="19">
        <f>IF($F474&lt;&gt;"OK","",N474/1000000*((1-O474)*UsdM_Sonnet+O474*UsdM_Opus))</f>
        <v/>
      </c>
      <c r="R474" s="19">
        <f>IF($F474&lt;&gt;"OK","",G474*TarifaHora)</f>
        <v/>
      </c>
      <c r="S474" s="19">
        <f>IF($F474&lt;&gt;"OK","",H474*TarifaHora)</f>
        <v/>
      </c>
      <c r="T474" s="10">
        <f>IF($F474&lt;&gt;"OK","",IF(COUNTIFS($A$2:$A474,$A474,$F$2:$F474,"OK")=1,MAX($T$1:$T473)+1,""))</f>
        <v/>
      </c>
    </row>
    <row r="475">
      <c r="A475" s="11" t="n"/>
      <c r="B475" s="11" t="n"/>
      <c r="C475" s="11" t="n"/>
      <c r="D475" s="11" t="n"/>
      <c r="E475" s="11" t="n"/>
      <c r="F475" s="10">
        <f>IF(AND($A475="",$B475="",$C475=""),"",IF($A475="","⚠ Falta hito",IF(ISNA(MATCH($C475,Cat_Nombre,0)),"⚠ Categoría inválida","OK")))</f>
        <v/>
      </c>
      <c r="G475" s="16">
        <f>IF($F475&lt;&gt;"OK","",IF(UPPER(TRIM($D475))="NO",INDEX(Cat_HMax,MATCH($C475,Cat_Nombre,0)),INDEX(Cat_HMin,MATCH($C475,Cat_Nombre,0))))</f>
        <v/>
      </c>
      <c r="H475" s="16">
        <f>IF($F475&lt;&gt;"OK","",INDEX(Cat_HMax,MATCH($C475,Cat_Nombre,0)))</f>
        <v/>
      </c>
      <c r="I475" s="16">
        <f>IF($F475&lt;&gt;"OK","",(G475+H475)/2)</f>
        <v/>
      </c>
      <c r="J475" s="16">
        <f>IF($F475&lt;&gt;"OK","",G475/HorasDia)</f>
        <v/>
      </c>
      <c r="K475" s="16">
        <f>IF($F475&lt;&gt;"OK","",I475/HorasDia)</f>
        <v/>
      </c>
      <c r="L475" s="16">
        <f>IF($F475&lt;&gt;"OK","",H475/HorasDia)</f>
        <v/>
      </c>
      <c r="M475" s="17">
        <f>IF($F475&lt;&gt;"OK","",IF(UPPER(TRIM($D475))="NO",INDEX(Cat_TMax,MATCH($C475,Cat_Nombre,0)),INDEX(Cat_TMin,MATCH($C475,Cat_Nombre,0))))</f>
        <v/>
      </c>
      <c r="N475" s="17">
        <f>IF($F475&lt;&gt;"OK","",INDEX(Cat_TMax,MATCH($C475,Cat_Nombre,0)))</f>
        <v/>
      </c>
      <c r="O475" s="18">
        <f>IF($F475&lt;&gt;"OK","",INDEX(Cat_POpus,MATCH($C475,Cat_Nombre,0)))</f>
        <v/>
      </c>
      <c r="P475" s="19">
        <f>IF($F475&lt;&gt;"OK","",M475/1000000*((1-O475)*UsdM_Sonnet+O475*UsdM_Opus))</f>
        <v/>
      </c>
      <c r="Q475" s="19">
        <f>IF($F475&lt;&gt;"OK","",N475/1000000*((1-O475)*UsdM_Sonnet+O475*UsdM_Opus))</f>
        <v/>
      </c>
      <c r="R475" s="19">
        <f>IF($F475&lt;&gt;"OK","",G475*TarifaHora)</f>
        <v/>
      </c>
      <c r="S475" s="19">
        <f>IF($F475&lt;&gt;"OK","",H475*TarifaHora)</f>
        <v/>
      </c>
      <c r="T475" s="10">
        <f>IF($F475&lt;&gt;"OK","",IF(COUNTIFS($A$2:$A475,$A475,$F$2:$F475,"OK")=1,MAX($T$1:$T474)+1,""))</f>
        <v/>
      </c>
    </row>
    <row r="476">
      <c r="A476" s="11" t="n"/>
      <c r="B476" s="11" t="n"/>
      <c r="C476" s="11" t="n"/>
      <c r="D476" s="11" t="n"/>
      <c r="E476" s="11" t="n"/>
      <c r="F476" s="10">
        <f>IF(AND($A476="",$B476="",$C476=""),"",IF($A476="","⚠ Falta hito",IF(ISNA(MATCH($C476,Cat_Nombre,0)),"⚠ Categoría inválida","OK")))</f>
        <v/>
      </c>
      <c r="G476" s="16">
        <f>IF($F476&lt;&gt;"OK","",IF(UPPER(TRIM($D476))="NO",INDEX(Cat_HMax,MATCH($C476,Cat_Nombre,0)),INDEX(Cat_HMin,MATCH($C476,Cat_Nombre,0))))</f>
        <v/>
      </c>
      <c r="H476" s="16">
        <f>IF($F476&lt;&gt;"OK","",INDEX(Cat_HMax,MATCH($C476,Cat_Nombre,0)))</f>
        <v/>
      </c>
      <c r="I476" s="16">
        <f>IF($F476&lt;&gt;"OK","",(G476+H476)/2)</f>
        <v/>
      </c>
      <c r="J476" s="16">
        <f>IF($F476&lt;&gt;"OK","",G476/HorasDia)</f>
        <v/>
      </c>
      <c r="K476" s="16">
        <f>IF($F476&lt;&gt;"OK","",I476/HorasDia)</f>
        <v/>
      </c>
      <c r="L476" s="16">
        <f>IF($F476&lt;&gt;"OK","",H476/HorasDia)</f>
        <v/>
      </c>
      <c r="M476" s="17">
        <f>IF($F476&lt;&gt;"OK","",IF(UPPER(TRIM($D476))="NO",INDEX(Cat_TMax,MATCH($C476,Cat_Nombre,0)),INDEX(Cat_TMin,MATCH($C476,Cat_Nombre,0))))</f>
        <v/>
      </c>
      <c r="N476" s="17">
        <f>IF($F476&lt;&gt;"OK","",INDEX(Cat_TMax,MATCH($C476,Cat_Nombre,0)))</f>
        <v/>
      </c>
      <c r="O476" s="18">
        <f>IF($F476&lt;&gt;"OK","",INDEX(Cat_POpus,MATCH($C476,Cat_Nombre,0)))</f>
        <v/>
      </c>
      <c r="P476" s="19">
        <f>IF($F476&lt;&gt;"OK","",M476/1000000*((1-O476)*UsdM_Sonnet+O476*UsdM_Opus))</f>
        <v/>
      </c>
      <c r="Q476" s="19">
        <f>IF($F476&lt;&gt;"OK","",N476/1000000*((1-O476)*UsdM_Sonnet+O476*UsdM_Opus))</f>
        <v/>
      </c>
      <c r="R476" s="19">
        <f>IF($F476&lt;&gt;"OK","",G476*TarifaHora)</f>
        <v/>
      </c>
      <c r="S476" s="19">
        <f>IF($F476&lt;&gt;"OK","",H476*TarifaHora)</f>
        <v/>
      </c>
      <c r="T476" s="10">
        <f>IF($F476&lt;&gt;"OK","",IF(COUNTIFS($A$2:$A476,$A476,$F$2:$F476,"OK")=1,MAX($T$1:$T475)+1,""))</f>
        <v/>
      </c>
    </row>
    <row r="477">
      <c r="A477" s="11" t="n"/>
      <c r="B477" s="11" t="n"/>
      <c r="C477" s="11" t="n"/>
      <c r="D477" s="11" t="n"/>
      <c r="E477" s="11" t="n"/>
      <c r="F477" s="10">
        <f>IF(AND($A477="",$B477="",$C477=""),"",IF($A477="","⚠ Falta hito",IF(ISNA(MATCH($C477,Cat_Nombre,0)),"⚠ Categoría inválida","OK")))</f>
        <v/>
      </c>
      <c r="G477" s="16">
        <f>IF($F477&lt;&gt;"OK","",IF(UPPER(TRIM($D477))="NO",INDEX(Cat_HMax,MATCH($C477,Cat_Nombre,0)),INDEX(Cat_HMin,MATCH($C477,Cat_Nombre,0))))</f>
        <v/>
      </c>
      <c r="H477" s="16">
        <f>IF($F477&lt;&gt;"OK","",INDEX(Cat_HMax,MATCH($C477,Cat_Nombre,0)))</f>
        <v/>
      </c>
      <c r="I477" s="16">
        <f>IF($F477&lt;&gt;"OK","",(G477+H477)/2)</f>
        <v/>
      </c>
      <c r="J477" s="16">
        <f>IF($F477&lt;&gt;"OK","",G477/HorasDia)</f>
        <v/>
      </c>
      <c r="K477" s="16">
        <f>IF($F477&lt;&gt;"OK","",I477/HorasDia)</f>
        <v/>
      </c>
      <c r="L477" s="16">
        <f>IF($F477&lt;&gt;"OK","",H477/HorasDia)</f>
        <v/>
      </c>
      <c r="M477" s="17">
        <f>IF($F477&lt;&gt;"OK","",IF(UPPER(TRIM($D477))="NO",INDEX(Cat_TMax,MATCH($C477,Cat_Nombre,0)),INDEX(Cat_TMin,MATCH($C477,Cat_Nombre,0))))</f>
        <v/>
      </c>
      <c r="N477" s="17">
        <f>IF($F477&lt;&gt;"OK","",INDEX(Cat_TMax,MATCH($C477,Cat_Nombre,0)))</f>
        <v/>
      </c>
      <c r="O477" s="18">
        <f>IF($F477&lt;&gt;"OK","",INDEX(Cat_POpus,MATCH($C477,Cat_Nombre,0)))</f>
        <v/>
      </c>
      <c r="P477" s="19">
        <f>IF($F477&lt;&gt;"OK","",M477/1000000*((1-O477)*UsdM_Sonnet+O477*UsdM_Opus))</f>
        <v/>
      </c>
      <c r="Q477" s="19">
        <f>IF($F477&lt;&gt;"OK","",N477/1000000*((1-O477)*UsdM_Sonnet+O477*UsdM_Opus))</f>
        <v/>
      </c>
      <c r="R477" s="19">
        <f>IF($F477&lt;&gt;"OK","",G477*TarifaHora)</f>
        <v/>
      </c>
      <c r="S477" s="19">
        <f>IF($F477&lt;&gt;"OK","",H477*TarifaHora)</f>
        <v/>
      </c>
      <c r="T477" s="10">
        <f>IF($F477&lt;&gt;"OK","",IF(COUNTIFS($A$2:$A477,$A477,$F$2:$F477,"OK")=1,MAX($T$1:$T476)+1,""))</f>
        <v/>
      </c>
    </row>
    <row r="478">
      <c r="A478" s="11" t="n"/>
      <c r="B478" s="11" t="n"/>
      <c r="C478" s="11" t="n"/>
      <c r="D478" s="11" t="n"/>
      <c r="E478" s="11" t="n"/>
      <c r="F478" s="10">
        <f>IF(AND($A478="",$B478="",$C478=""),"",IF($A478="","⚠ Falta hito",IF(ISNA(MATCH($C478,Cat_Nombre,0)),"⚠ Categoría inválida","OK")))</f>
        <v/>
      </c>
      <c r="G478" s="16">
        <f>IF($F478&lt;&gt;"OK","",IF(UPPER(TRIM($D478))="NO",INDEX(Cat_HMax,MATCH($C478,Cat_Nombre,0)),INDEX(Cat_HMin,MATCH($C478,Cat_Nombre,0))))</f>
        <v/>
      </c>
      <c r="H478" s="16">
        <f>IF($F478&lt;&gt;"OK","",INDEX(Cat_HMax,MATCH($C478,Cat_Nombre,0)))</f>
        <v/>
      </c>
      <c r="I478" s="16">
        <f>IF($F478&lt;&gt;"OK","",(G478+H478)/2)</f>
        <v/>
      </c>
      <c r="J478" s="16">
        <f>IF($F478&lt;&gt;"OK","",G478/HorasDia)</f>
        <v/>
      </c>
      <c r="K478" s="16">
        <f>IF($F478&lt;&gt;"OK","",I478/HorasDia)</f>
        <v/>
      </c>
      <c r="L478" s="16">
        <f>IF($F478&lt;&gt;"OK","",H478/HorasDia)</f>
        <v/>
      </c>
      <c r="M478" s="17">
        <f>IF($F478&lt;&gt;"OK","",IF(UPPER(TRIM($D478))="NO",INDEX(Cat_TMax,MATCH($C478,Cat_Nombre,0)),INDEX(Cat_TMin,MATCH($C478,Cat_Nombre,0))))</f>
        <v/>
      </c>
      <c r="N478" s="17">
        <f>IF($F478&lt;&gt;"OK","",INDEX(Cat_TMax,MATCH($C478,Cat_Nombre,0)))</f>
        <v/>
      </c>
      <c r="O478" s="18">
        <f>IF($F478&lt;&gt;"OK","",INDEX(Cat_POpus,MATCH($C478,Cat_Nombre,0)))</f>
        <v/>
      </c>
      <c r="P478" s="19">
        <f>IF($F478&lt;&gt;"OK","",M478/1000000*((1-O478)*UsdM_Sonnet+O478*UsdM_Opus))</f>
        <v/>
      </c>
      <c r="Q478" s="19">
        <f>IF($F478&lt;&gt;"OK","",N478/1000000*((1-O478)*UsdM_Sonnet+O478*UsdM_Opus))</f>
        <v/>
      </c>
      <c r="R478" s="19">
        <f>IF($F478&lt;&gt;"OK","",G478*TarifaHora)</f>
        <v/>
      </c>
      <c r="S478" s="19">
        <f>IF($F478&lt;&gt;"OK","",H478*TarifaHora)</f>
        <v/>
      </c>
      <c r="T478" s="10">
        <f>IF($F478&lt;&gt;"OK","",IF(COUNTIFS($A$2:$A478,$A478,$F$2:$F478,"OK")=1,MAX($T$1:$T477)+1,""))</f>
        <v/>
      </c>
    </row>
    <row r="479">
      <c r="A479" s="11" t="n"/>
      <c r="B479" s="11" t="n"/>
      <c r="C479" s="11" t="n"/>
      <c r="D479" s="11" t="n"/>
      <c r="E479" s="11" t="n"/>
      <c r="F479" s="10">
        <f>IF(AND($A479="",$B479="",$C479=""),"",IF($A479="","⚠ Falta hito",IF(ISNA(MATCH($C479,Cat_Nombre,0)),"⚠ Categoría inválida","OK")))</f>
        <v/>
      </c>
      <c r="G479" s="16">
        <f>IF($F479&lt;&gt;"OK","",IF(UPPER(TRIM($D479))="NO",INDEX(Cat_HMax,MATCH($C479,Cat_Nombre,0)),INDEX(Cat_HMin,MATCH($C479,Cat_Nombre,0))))</f>
        <v/>
      </c>
      <c r="H479" s="16">
        <f>IF($F479&lt;&gt;"OK","",INDEX(Cat_HMax,MATCH($C479,Cat_Nombre,0)))</f>
        <v/>
      </c>
      <c r="I479" s="16">
        <f>IF($F479&lt;&gt;"OK","",(G479+H479)/2)</f>
        <v/>
      </c>
      <c r="J479" s="16">
        <f>IF($F479&lt;&gt;"OK","",G479/HorasDia)</f>
        <v/>
      </c>
      <c r="K479" s="16">
        <f>IF($F479&lt;&gt;"OK","",I479/HorasDia)</f>
        <v/>
      </c>
      <c r="L479" s="16">
        <f>IF($F479&lt;&gt;"OK","",H479/HorasDia)</f>
        <v/>
      </c>
      <c r="M479" s="17">
        <f>IF($F479&lt;&gt;"OK","",IF(UPPER(TRIM($D479))="NO",INDEX(Cat_TMax,MATCH($C479,Cat_Nombre,0)),INDEX(Cat_TMin,MATCH($C479,Cat_Nombre,0))))</f>
        <v/>
      </c>
      <c r="N479" s="17">
        <f>IF($F479&lt;&gt;"OK","",INDEX(Cat_TMax,MATCH($C479,Cat_Nombre,0)))</f>
        <v/>
      </c>
      <c r="O479" s="18">
        <f>IF($F479&lt;&gt;"OK","",INDEX(Cat_POpus,MATCH($C479,Cat_Nombre,0)))</f>
        <v/>
      </c>
      <c r="P479" s="19">
        <f>IF($F479&lt;&gt;"OK","",M479/1000000*((1-O479)*UsdM_Sonnet+O479*UsdM_Opus))</f>
        <v/>
      </c>
      <c r="Q479" s="19">
        <f>IF($F479&lt;&gt;"OK","",N479/1000000*((1-O479)*UsdM_Sonnet+O479*UsdM_Opus))</f>
        <v/>
      </c>
      <c r="R479" s="19">
        <f>IF($F479&lt;&gt;"OK","",G479*TarifaHora)</f>
        <v/>
      </c>
      <c r="S479" s="19">
        <f>IF($F479&lt;&gt;"OK","",H479*TarifaHora)</f>
        <v/>
      </c>
      <c r="T479" s="10">
        <f>IF($F479&lt;&gt;"OK","",IF(COUNTIFS($A$2:$A479,$A479,$F$2:$F479,"OK")=1,MAX($T$1:$T478)+1,""))</f>
        <v/>
      </c>
    </row>
    <row r="480">
      <c r="A480" s="11" t="n"/>
      <c r="B480" s="11" t="n"/>
      <c r="C480" s="11" t="n"/>
      <c r="D480" s="11" t="n"/>
      <c r="E480" s="11" t="n"/>
      <c r="F480" s="10">
        <f>IF(AND($A480="",$B480="",$C480=""),"",IF($A480="","⚠ Falta hito",IF(ISNA(MATCH($C480,Cat_Nombre,0)),"⚠ Categoría inválida","OK")))</f>
        <v/>
      </c>
      <c r="G480" s="16">
        <f>IF($F480&lt;&gt;"OK","",IF(UPPER(TRIM($D480))="NO",INDEX(Cat_HMax,MATCH($C480,Cat_Nombre,0)),INDEX(Cat_HMin,MATCH($C480,Cat_Nombre,0))))</f>
        <v/>
      </c>
      <c r="H480" s="16">
        <f>IF($F480&lt;&gt;"OK","",INDEX(Cat_HMax,MATCH($C480,Cat_Nombre,0)))</f>
        <v/>
      </c>
      <c r="I480" s="16">
        <f>IF($F480&lt;&gt;"OK","",(G480+H480)/2)</f>
        <v/>
      </c>
      <c r="J480" s="16">
        <f>IF($F480&lt;&gt;"OK","",G480/HorasDia)</f>
        <v/>
      </c>
      <c r="K480" s="16">
        <f>IF($F480&lt;&gt;"OK","",I480/HorasDia)</f>
        <v/>
      </c>
      <c r="L480" s="16">
        <f>IF($F480&lt;&gt;"OK","",H480/HorasDia)</f>
        <v/>
      </c>
      <c r="M480" s="17">
        <f>IF($F480&lt;&gt;"OK","",IF(UPPER(TRIM($D480))="NO",INDEX(Cat_TMax,MATCH($C480,Cat_Nombre,0)),INDEX(Cat_TMin,MATCH($C480,Cat_Nombre,0))))</f>
        <v/>
      </c>
      <c r="N480" s="17">
        <f>IF($F480&lt;&gt;"OK","",INDEX(Cat_TMax,MATCH($C480,Cat_Nombre,0)))</f>
        <v/>
      </c>
      <c r="O480" s="18">
        <f>IF($F480&lt;&gt;"OK","",INDEX(Cat_POpus,MATCH($C480,Cat_Nombre,0)))</f>
        <v/>
      </c>
      <c r="P480" s="19">
        <f>IF($F480&lt;&gt;"OK","",M480/1000000*((1-O480)*UsdM_Sonnet+O480*UsdM_Opus))</f>
        <v/>
      </c>
      <c r="Q480" s="19">
        <f>IF($F480&lt;&gt;"OK","",N480/1000000*((1-O480)*UsdM_Sonnet+O480*UsdM_Opus))</f>
        <v/>
      </c>
      <c r="R480" s="19">
        <f>IF($F480&lt;&gt;"OK","",G480*TarifaHora)</f>
        <v/>
      </c>
      <c r="S480" s="19">
        <f>IF($F480&lt;&gt;"OK","",H480*TarifaHora)</f>
        <v/>
      </c>
      <c r="T480" s="10">
        <f>IF($F480&lt;&gt;"OK","",IF(COUNTIFS($A$2:$A480,$A480,$F$2:$F480,"OK")=1,MAX($T$1:$T479)+1,""))</f>
        <v/>
      </c>
    </row>
    <row r="481">
      <c r="A481" s="11" t="n"/>
      <c r="B481" s="11" t="n"/>
      <c r="C481" s="11" t="n"/>
      <c r="D481" s="11" t="n"/>
      <c r="E481" s="11" t="n"/>
      <c r="F481" s="10">
        <f>IF(AND($A481="",$B481="",$C481=""),"",IF($A481="","⚠ Falta hito",IF(ISNA(MATCH($C481,Cat_Nombre,0)),"⚠ Categoría inválida","OK")))</f>
        <v/>
      </c>
      <c r="G481" s="16">
        <f>IF($F481&lt;&gt;"OK","",IF(UPPER(TRIM($D481))="NO",INDEX(Cat_HMax,MATCH($C481,Cat_Nombre,0)),INDEX(Cat_HMin,MATCH($C481,Cat_Nombre,0))))</f>
        <v/>
      </c>
      <c r="H481" s="16">
        <f>IF($F481&lt;&gt;"OK","",INDEX(Cat_HMax,MATCH($C481,Cat_Nombre,0)))</f>
        <v/>
      </c>
      <c r="I481" s="16">
        <f>IF($F481&lt;&gt;"OK","",(G481+H481)/2)</f>
        <v/>
      </c>
      <c r="J481" s="16">
        <f>IF($F481&lt;&gt;"OK","",G481/HorasDia)</f>
        <v/>
      </c>
      <c r="K481" s="16">
        <f>IF($F481&lt;&gt;"OK","",I481/HorasDia)</f>
        <v/>
      </c>
      <c r="L481" s="16">
        <f>IF($F481&lt;&gt;"OK","",H481/HorasDia)</f>
        <v/>
      </c>
      <c r="M481" s="17">
        <f>IF($F481&lt;&gt;"OK","",IF(UPPER(TRIM($D481))="NO",INDEX(Cat_TMax,MATCH($C481,Cat_Nombre,0)),INDEX(Cat_TMin,MATCH($C481,Cat_Nombre,0))))</f>
        <v/>
      </c>
      <c r="N481" s="17">
        <f>IF($F481&lt;&gt;"OK","",INDEX(Cat_TMax,MATCH($C481,Cat_Nombre,0)))</f>
        <v/>
      </c>
      <c r="O481" s="18">
        <f>IF($F481&lt;&gt;"OK","",INDEX(Cat_POpus,MATCH($C481,Cat_Nombre,0)))</f>
        <v/>
      </c>
      <c r="P481" s="19">
        <f>IF($F481&lt;&gt;"OK","",M481/1000000*((1-O481)*UsdM_Sonnet+O481*UsdM_Opus))</f>
        <v/>
      </c>
      <c r="Q481" s="19">
        <f>IF($F481&lt;&gt;"OK","",N481/1000000*((1-O481)*UsdM_Sonnet+O481*UsdM_Opus))</f>
        <v/>
      </c>
      <c r="R481" s="19">
        <f>IF($F481&lt;&gt;"OK","",G481*TarifaHora)</f>
        <v/>
      </c>
      <c r="S481" s="19">
        <f>IF($F481&lt;&gt;"OK","",H481*TarifaHora)</f>
        <v/>
      </c>
      <c r="T481" s="10">
        <f>IF($F481&lt;&gt;"OK","",IF(COUNTIFS($A$2:$A481,$A481,$F$2:$F481,"OK")=1,MAX($T$1:$T480)+1,""))</f>
        <v/>
      </c>
    </row>
    <row r="482">
      <c r="A482" s="11" t="n"/>
      <c r="B482" s="11" t="n"/>
      <c r="C482" s="11" t="n"/>
      <c r="D482" s="11" t="n"/>
      <c r="E482" s="11" t="n"/>
      <c r="F482" s="10">
        <f>IF(AND($A482="",$B482="",$C482=""),"",IF($A482="","⚠ Falta hito",IF(ISNA(MATCH($C482,Cat_Nombre,0)),"⚠ Categoría inválida","OK")))</f>
        <v/>
      </c>
      <c r="G482" s="16">
        <f>IF($F482&lt;&gt;"OK","",IF(UPPER(TRIM($D482))="NO",INDEX(Cat_HMax,MATCH($C482,Cat_Nombre,0)),INDEX(Cat_HMin,MATCH($C482,Cat_Nombre,0))))</f>
        <v/>
      </c>
      <c r="H482" s="16">
        <f>IF($F482&lt;&gt;"OK","",INDEX(Cat_HMax,MATCH($C482,Cat_Nombre,0)))</f>
        <v/>
      </c>
      <c r="I482" s="16">
        <f>IF($F482&lt;&gt;"OK","",(G482+H482)/2)</f>
        <v/>
      </c>
      <c r="J482" s="16">
        <f>IF($F482&lt;&gt;"OK","",G482/HorasDia)</f>
        <v/>
      </c>
      <c r="K482" s="16">
        <f>IF($F482&lt;&gt;"OK","",I482/HorasDia)</f>
        <v/>
      </c>
      <c r="L482" s="16">
        <f>IF($F482&lt;&gt;"OK","",H482/HorasDia)</f>
        <v/>
      </c>
      <c r="M482" s="17">
        <f>IF($F482&lt;&gt;"OK","",IF(UPPER(TRIM($D482))="NO",INDEX(Cat_TMax,MATCH($C482,Cat_Nombre,0)),INDEX(Cat_TMin,MATCH($C482,Cat_Nombre,0))))</f>
        <v/>
      </c>
      <c r="N482" s="17">
        <f>IF($F482&lt;&gt;"OK","",INDEX(Cat_TMax,MATCH($C482,Cat_Nombre,0)))</f>
        <v/>
      </c>
      <c r="O482" s="18">
        <f>IF($F482&lt;&gt;"OK","",INDEX(Cat_POpus,MATCH($C482,Cat_Nombre,0)))</f>
        <v/>
      </c>
      <c r="P482" s="19">
        <f>IF($F482&lt;&gt;"OK","",M482/1000000*((1-O482)*UsdM_Sonnet+O482*UsdM_Opus))</f>
        <v/>
      </c>
      <c r="Q482" s="19">
        <f>IF($F482&lt;&gt;"OK","",N482/1000000*((1-O482)*UsdM_Sonnet+O482*UsdM_Opus))</f>
        <v/>
      </c>
      <c r="R482" s="19">
        <f>IF($F482&lt;&gt;"OK","",G482*TarifaHora)</f>
        <v/>
      </c>
      <c r="S482" s="19">
        <f>IF($F482&lt;&gt;"OK","",H482*TarifaHora)</f>
        <v/>
      </c>
      <c r="T482" s="10">
        <f>IF($F482&lt;&gt;"OK","",IF(COUNTIFS($A$2:$A482,$A482,$F$2:$F482,"OK")=1,MAX($T$1:$T481)+1,""))</f>
        <v/>
      </c>
    </row>
    <row r="483">
      <c r="A483" s="11" t="n"/>
      <c r="B483" s="11" t="n"/>
      <c r="C483" s="11" t="n"/>
      <c r="D483" s="11" t="n"/>
      <c r="E483" s="11" t="n"/>
      <c r="F483" s="10">
        <f>IF(AND($A483="",$B483="",$C483=""),"",IF($A483="","⚠ Falta hito",IF(ISNA(MATCH($C483,Cat_Nombre,0)),"⚠ Categoría inválida","OK")))</f>
        <v/>
      </c>
      <c r="G483" s="16">
        <f>IF($F483&lt;&gt;"OK","",IF(UPPER(TRIM($D483))="NO",INDEX(Cat_HMax,MATCH($C483,Cat_Nombre,0)),INDEX(Cat_HMin,MATCH($C483,Cat_Nombre,0))))</f>
        <v/>
      </c>
      <c r="H483" s="16">
        <f>IF($F483&lt;&gt;"OK","",INDEX(Cat_HMax,MATCH($C483,Cat_Nombre,0)))</f>
        <v/>
      </c>
      <c r="I483" s="16">
        <f>IF($F483&lt;&gt;"OK","",(G483+H483)/2)</f>
        <v/>
      </c>
      <c r="J483" s="16">
        <f>IF($F483&lt;&gt;"OK","",G483/HorasDia)</f>
        <v/>
      </c>
      <c r="K483" s="16">
        <f>IF($F483&lt;&gt;"OK","",I483/HorasDia)</f>
        <v/>
      </c>
      <c r="L483" s="16">
        <f>IF($F483&lt;&gt;"OK","",H483/HorasDia)</f>
        <v/>
      </c>
      <c r="M483" s="17">
        <f>IF($F483&lt;&gt;"OK","",IF(UPPER(TRIM($D483))="NO",INDEX(Cat_TMax,MATCH($C483,Cat_Nombre,0)),INDEX(Cat_TMin,MATCH($C483,Cat_Nombre,0))))</f>
        <v/>
      </c>
      <c r="N483" s="17">
        <f>IF($F483&lt;&gt;"OK","",INDEX(Cat_TMax,MATCH($C483,Cat_Nombre,0)))</f>
        <v/>
      </c>
      <c r="O483" s="18">
        <f>IF($F483&lt;&gt;"OK","",INDEX(Cat_POpus,MATCH($C483,Cat_Nombre,0)))</f>
        <v/>
      </c>
      <c r="P483" s="19">
        <f>IF($F483&lt;&gt;"OK","",M483/1000000*((1-O483)*UsdM_Sonnet+O483*UsdM_Opus))</f>
        <v/>
      </c>
      <c r="Q483" s="19">
        <f>IF($F483&lt;&gt;"OK","",N483/1000000*((1-O483)*UsdM_Sonnet+O483*UsdM_Opus))</f>
        <v/>
      </c>
      <c r="R483" s="19">
        <f>IF($F483&lt;&gt;"OK","",G483*TarifaHora)</f>
        <v/>
      </c>
      <c r="S483" s="19">
        <f>IF($F483&lt;&gt;"OK","",H483*TarifaHora)</f>
        <v/>
      </c>
      <c r="T483" s="10">
        <f>IF($F483&lt;&gt;"OK","",IF(COUNTIFS($A$2:$A483,$A483,$F$2:$F483,"OK")=1,MAX($T$1:$T482)+1,""))</f>
        <v/>
      </c>
    </row>
    <row r="484">
      <c r="A484" s="11" t="n"/>
      <c r="B484" s="11" t="n"/>
      <c r="C484" s="11" t="n"/>
      <c r="D484" s="11" t="n"/>
      <c r="E484" s="11" t="n"/>
      <c r="F484" s="10">
        <f>IF(AND($A484="",$B484="",$C484=""),"",IF($A484="","⚠ Falta hito",IF(ISNA(MATCH($C484,Cat_Nombre,0)),"⚠ Categoría inválida","OK")))</f>
        <v/>
      </c>
      <c r="G484" s="16">
        <f>IF($F484&lt;&gt;"OK","",IF(UPPER(TRIM($D484))="NO",INDEX(Cat_HMax,MATCH($C484,Cat_Nombre,0)),INDEX(Cat_HMin,MATCH($C484,Cat_Nombre,0))))</f>
        <v/>
      </c>
      <c r="H484" s="16">
        <f>IF($F484&lt;&gt;"OK","",INDEX(Cat_HMax,MATCH($C484,Cat_Nombre,0)))</f>
        <v/>
      </c>
      <c r="I484" s="16">
        <f>IF($F484&lt;&gt;"OK","",(G484+H484)/2)</f>
        <v/>
      </c>
      <c r="J484" s="16">
        <f>IF($F484&lt;&gt;"OK","",G484/HorasDia)</f>
        <v/>
      </c>
      <c r="K484" s="16">
        <f>IF($F484&lt;&gt;"OK","",I484/HorasDia)</f>
        <v/>
      </c>
      <c r="L484" s="16">
        <f>IF($F484&lt;&gt;"OK","",H484/HorasDia)</f>
        <v/>
      </c>
      <c r="M484" s="17">
        <f>IF($F484&lt;&gt;"OK","",IF(UPPER(TRIM($D484))="NO",INDEX(Cat_TMax,MATCH($C484,Cat_Nombre,0)),INDEX(Cat_TMin,MATCH($C484,Cat_Nombre,0))))</f>
        <v/>
      </c>
      <c r="N484" s="17">
        <f>IF($F484&lt;&gt;"OK","",INDEX(Cat_TMax,MATCH($C484,Cat_Nombre,0)))</f>
        <v/>
      </c>
      <c r="O484" s="18">
        <f>IF($F484&lt;&gt;"OK","",INDEX(Cat_POpus,MATCH($C484,Cat_Nombre,0)))</f>
        <v/>
      </c>
      <c r="P484" s="19">
        <f>IF($F484&lt;&gt;"OK","",M484/1000000*((1-O484)*UsdM_Sonnet+O484*UsdM_Opus))</f>
        <v/>
      </c>
      <c r="Q484" s="19">
        <f>IF($F484&lt;&gt;"OK","",N484/1000000*((1-O484)*UsdM_Sonnet+O484*UsdM_Opus))</f>
        <v/>
      </c>
      <c r="R484" s="19">
        <f>IF($F484&lt;&gt;"OK","",G484*TarifaHora)</f>
        <v/>
      </c>
      <c r="S484" s="19">
        <f>IF($F484&lt;&gt;"OK","",H484*TarifaHora)</f>
        <v/>
      </c>
      <c r="T484" s="10">
        <f>IF($F484&lt;&gt;"OK","",IF(COUNTIFS($A$2:$A484,$A484,$F$2:$F484,"OK")=1,MAX($T$1:$T483)+1,""))</f>
        <v/>
      </c>
    </row>
    <row r="485">
      <c r="A485" s="11" t="n"/>
      <c r="B485" s="11" t="n"/>
      <c r="C485" s="11" t="n"/>
      <c r="D485" s="11" t="n"/>
      <c r="E485" s="11" t="n"/>
      <c r="F485" s="10">
        <f>IF(AND($A485="",$B485="",$C485=""),"",IF($A485="","⚠ Falta hito",IF(ISNA(MATCH($C485,Cat_Nombre,0)),"⚠ Categoría inválida","OK")))</f>
        <v/>
      </c>
      <c r="G485" s="16">
        <f>IF($F485&lt;&gt;"OK","",IF(UPPER(TRIM($D485))="NO",INDEX(Cat_HMax,MATCH($C485,Cat_Nombre,0)),INDEX(Cat_HMin,MATCH($C485,Cat_Nombre,0))))</f>
        <v/>
      </c>
      <c r="H485" s="16">
        <f>IF($F485&lt;&gt;"OK","",INDEX(Cat_HMax,MATCH($C485,Cat_Nombre,0)))</f>
        <v/>
      </c>
      <c r="I485" s="16">
        <f>IF($F485&lt;&gt;"OK","",(G485+H485)/2)</f>
        <v/>
      </c>
      <c r="J485" s="16">
        <f>IF($F485&lt;&gt;"OK","",G485/HorasDia)</f>
        <v/>
      </c>
      <c r="K485" s="16">
        <f>IF($F485&lt;&gt;"OK","",I485/HorasDia)</f>
        <v/>
      </c>
      <c r="L485" s="16">
        <f>IF($F485&lt;&gt;"OK","",H485/HorasDia)</f>
        <v/>
      </c>
      <c r="M485" s="17">
        <f>IF($F485&lt;&gt;"OK","",IF(UPPER(TRIM($D485))="NO",INDEX(Cat_TMax,MATCH($C485,Cat_Nombre,0)),INDEX(Cat_TMin,MATCH($C485,Cat_Nombre,0))))</f>
        <v/>
      </c>
      <c r="N485" s="17">
        <f>IF($F485&lt;&gt;"OK","",INDEX(Cat_TMax,MATCH($C485,Cat_Nombre,0)))</f>
        <v/>
      </c>
      <c r="O485" s="18">
        <f>IF($F485&lt;&gt;"OK","",INDEX(Cat_POpus,MATCH($C485,Cat_Nombre,0)))</f>
        <v/>
      </c>
      <c r="P485" s="19">
        <f>IF($F485&lt;&gt;"OK","",M485/1000000*((1-O485)*UsdM_Sonnet+O485*UsdM_Opus))</f>
        <v/>
      </c>
      <c r="Q485" s="19">
        <f>IF($F485&lt;&gt;"OK","",N485/1000000*((1-O485)*UsdM_Sonnet+O485*UsdM_Opus))</f>
        <v/>
      </c>
      <c r="R485" s="19">
        <f>IF($F485&lt;&gt;"OK","",G485*TarifaHora)</f>
        <v/>
      </c>
      <c r="S485" s="19">
        <f>IF($F485&lt;&gt;"OK","",H485*TarifaHora)</f>
        <v/>
      </c>
      <c r="T485" s="10">
        <f>IF($F485&lt;&gt;"OK","",IF(COUNTIFS($A$2:$A485,$A485,$F$2:$F485,"OK")=1,MAX($T$1:$T484)+1,""))</f>
        <v/>
      </c>
    </row>
    <row r="486">
      <c r="A486" s="11" t="n"/>
      <c r="B486" s="11" t="n"/>
      <c r="C486" s="11" t="n"/>
      <c r="D486" s="11" t="n"/>
      <c r="E486" s="11" t="n"/>
      <c r="F486" s="10">
        <f>IF(AND($A486="",$B486="",$C486=""),"",IF($A486="","⚠ Falta hito",IF(ISNA(MATCH($C486,Cat_Nombre,0)),"⚠ Categoría inválida","OK")))</f>
        <v/>
      </c>
      <c r="G486" s="16">
        <f>IF($F486&lt;&gt;"OK","",IF(UPPER(TRIM($D486))="NO",INDEX(Cat_HMax,MATCH($C486,Cat_Nombre,0)),INDEX(Cat_HMin,MATCH($C486,Cat_Nombre,0))))</f>
        <v/>
      </c>
      <c r="H486" s="16">
        <f>IF($F486&lt;&gt;"OK","",INDEX(Cat_HMax,MATCH($C486,Cat_Nombre,0)))</f>
        <v/>
      </c>
      <c r="I486" s="16">
        <f>IF($F486&lt;&gt;"OK","",(G486+H486)/2)</f>
        <v/>
      </c>
      <c r="J486" s="16">
        <f>IF($F486&lt;&gt;"OK","",G486/HorasDia)</f>
        <v/>
      </c>
      <c r="K486" s="16">
        <f>IF($F486&lt;&gt;"OK","",I486/HorasDia)</f>
        <v/>
      </c>
      <c r="L486" s="16">
        <f>IF($F486&lt;&gt;"OK","",H486/HorasDia)</f>
        <v/>
      </c>
      <c r="M486" s="17">
        <f>IF($F486&lt;&gt;"OK","",IF(UPPER(TRIM($D486))="NO",INDEX(Cat_TMax,MATCH($C486,Cat_Nombre,0)),INDEX(Cat_TMin,MATCH($C486,Cat_Nombre,0))))</f>
        <v/>
      </c>
      <c r="N486" s="17">
        <f>IF($F486&lt;&gt;"OK","",INDEX(Cat_TMax,MATCH($C486,Cat_Nombre,0)))</f>
        <v/>
      </c>
      <c r="O486" s="18">
        <f>IF($F486&lt;&gt;"OK","",INDEX(Cat_POpus,MATCH($C486,Cat_Nombre,0)))</f>
        <v/>
      </c>
      <c r="P486" s="19">
        <f>IF($F486&lt;&gt;"OK","",M486/1000000*((1-O486)*UsdM_Sonnet+O486*UsdM_Opus))</f>
        <v/>
      </c>
      <c r="Q486" s="19">
        <f>IF($F486&lt;&gt;"OK","",N486/1000000*((1-O486)*UsdM_Sonnet+O486*UsdM_Opus))</f>
        <v/>
      </c>
      <c r="R486" s="19">
        <f>IF($F486&lt;&gt;"OK","",G486*TarifaHora)</f>
        <v/>
      </c>
      <c r="S486" s="19">
        <f>IF($F486&lt;&gt;"OK","",H486*TarifaHora)</f>
        <v/>
      </c>
      <c r="T486" s="10">
        <f>IF($F486&lt;&gt;"OK","",IF(COUNTIFS($A$2:$A486,$A486,$F$2:$F486,"OK")=1,MAX($T$1:$T485)+1,""))</f>
        <v/>
      </c>
    </row>
    <row r="487">
      <c r="A487" s="11" t="n"/>
      <c r="B487" s="11" t="n"/>
      <c r="C487" s="11" t="n"/>
      <c r="D487" s="11" t="n"/>
      <c r="E487" s="11" t="n"/>
      <c r="F487" s="10">
        <f>IF(AND($A487="",$B487="",$C487=""),"",IF($A487="","⚠ Falta hito",IF(ISNA(MATCH($C487,Cat_Nombre,0)),"⚠ Categoría inválida","OK")))</f>
        <v/>
      </c>
      <c r="G487" s="16">
        <f>IF($F487&lt;&gt;"OK","",IF(UPPER(TRIM($D487))="NO",INDEX(Cat_HMax,MATCH($C487,Cat_Nombre,0)),INDEX(Cat_HMin,MATCH($C487,Cat_Nombre,0))))</f>
        <v/>
      </c>
      <c r="H487" s="16">
        <f>IF($F487&lt;&gt;"OK","",INDEX(Cat_HMax,MATCH($C487,Cat_Nombre,0)))</f>
        <v/>
      </c>
      <c r="I487" s="16">
        <f>IF($F487&lt;&gt;"OK","",(G487+H487)/2)</f>
        <v/>
      </c>
      <c r="J487" s="16">
        <f>IF($F487&lt;&gt;"OK","",G487/HorasDia)</f>
        <v/>
      </c>
      <c r="K487" s="16">
        <f>IF($F487&lt;&gt;"OK","",I487/HorasDia)</f>
        <v/>
      </c>
      <c r="L487" s="16">
        <f>IF($F487&lt;&gt;"OK","",H487/HorasDia)</f>
        <v/>
      </c>
      <c r="M487" s="17">
        <f>IF($F487&lt;&gt;"OK","",IF(UPPER(TRIM($D487))="NO",INDEX(Cat_TMax,MATCH($C487,Cat_Nombre,0)),INDEX(Cat_TMin,MATCH($C487,Cat_Nombre,0))))</f>
        <v/>
      </c>
      <c r="N487" s="17">
        <f>IF($F487&lt;&gt;"OK","",INDEX(Cat_TMax,MATCH($C487,Cat_Nombre,0)))</f>
        <v/>
      </c>
      <c r="O487" s="18">
        <f>IF($F487&lt;&gt;"OK","",INDEX(Cat_POpus,MATCH($C487,Cat_Nombre,0)))</f>
        <v/>
      </c>
      <c r="P487" s="19">
        <f>IF($F487&lt;&gt;"OK","",M487/1000000*((1-O487)*UsdM_Sonnet+O487*UsdM_Opus))</f>
        <v/>
      </c>
      <c r="Q487" s="19">
        <f>IF($F487&lt;&gt;"OK","",N487/1000000*((1-O487)*UsdM_Sonnet+O487*UsdM_Opus))</f>
        <v/>
      </c>
      <c r="R487" s="19">
        <f>IF($F487&lt;&gt;"OK","",G487*TarifaHora)</f>
        <v/>
      </c>
      <c r="S487" s="19">
        <f>IF($F487&lt;&gt;"OK","",H487*TarifaHora)</f>
        <v/>
      </c>
      <c r="T487" s="10">
        <f>IF($F487&lt;&gt;"OK","",IF(COUNTIFS($A$2:$A487,$A487,$F$2:$F487,"OK")=1,MAX($T$1:$T486)+1,""))</f>
        <v/>
      </c>
    </row>
    <row r="488">
      <c r="A488" s="11" t="n"/>
      <c r="B488" s="11" t="n"/>
      <c r="C488" s="11" t="n"/>
      <c r="D488" s="11" t="n"/>
      <c r="E488" s="11" t="n"/>
      <c r="F488" s="10">
        <f>IF(AND($A488="",$B488="",$C488=""),"",IF($A488="","⚠ Falta hito",IF(ISNA(MATCH($C488,Cat_Nombre,0)),"⚠ Categoría inválida","OK")))</f>
        <v/>
      </c>
      <c r="G488" s="16">
        <f>IF($F488&lt;&gt;"OK","",IF(UPPER(TRIM($D488))="NO",INDEX(Cat_HMax,MATCH($C488,Cat_Nombre,0)),INDEX(Cat_HMin,MATCH($C488,Cat_Nombre,0))))</f>
        <v/>
      </c>
      <c r="H488" s="16">
        <f>IF($F488&lt;&gt;"OK","",INDEX(Cat_HMax,MATCH($C488,Cat_Nombre,0)))</f>
        <v/>
      </c>
      <c r="I488" s="16">
        <f>IF($F488&lt;&gt;"OK","",(G488+H488)/2)</f>
        <v/>
      </c>
      <c r="J488" s="16">
        <f>IF($F488&lt;&gt;"OK","",G488/HorasDia)</f>
        <v/>
      </c>
      <c r="K488" s="16">
        <f>IF($F488&lt;&gt;"OK","",I488/HorasDia)</f>
        <v/>
      </c>
      <c r="L488" s="16">
        <f>IF($F488&lt;&gt;"OK","",H488/HorasDia)</f>
        <v/>
      </c>
      <c r="M488" s="17">
        <f>IF($F488&lt;&gt;"OK","",IF(UPPER(TRIM($D488))="NO",INDEX(Cat_TMax,MATCH($C488,Cat_Nombre,0)),INDEX(Cat_TMin,MATCH($C488,Cat_Nombre,0))))</f>
        <v/>
      </c>
      <c r="N488" s="17">
        <f>IF($F488&lt;&gt;"OK","",INDEX(Cat_TMax,MATCH($C488,Cat_Nombre,0)))</f>
        <v/>
      </c>
      <c r="O488" s="18">
        <f>IF($F488&lt;&gt;"OK","",INDEX(Cat_POpus,MATCH($C488,Cat_Nombre,0)))</f>
        <v/>
      </c>
      <c r="P488" s="19">
        <f>IF($F488&lt;&gt;"OK","",M488/1000000*((1-O488)*UsdM_Sonnet+O488*UsdM_Opus))</f>
        <v/>
      </c>
      <c r="Q488" s="19">
        <f>IF($F488&lt;&gt;"OK","",N488/1000000*((1-O488)*UsdM_Sonnet+O488*UsdM_Opus))</f>
        <v/>
      </c>
      <c r="R488" s="19">
        <f>IF($F488&lt;&gt;"OK","",G488*TarifaHora)</f>
        <v/>
      </c>
      <c r="S488" s="19">
        <f>IF($F488&lt;&gt;"OK","",H488*TarifaHora)</f>
        <v/>
      </c>
      <c r="T488" s="10">
        <f>IF($F488&lt;&gt;"OK","",IF(COUNTIFS($A$2:$A488,$A488,$F$2:$F488,"OK")=1,MAX($T$1:$T487)+1,""))</f>
        <v/>
      </c>
    </row>
    <row r="489">
      <c r="A489" s="11" t="n"/>
      <c r="B489" s="11" t="n"/>
      <c r="C489" s="11" t="n"/>
      <c r="D489" s="11" t="n"/>
      <c r="E489" s="11" t="n"/>
      <c r="F489" s="10">
        <f>IF(AND($A489="",$B489="",$C489=""),"",IF($A489="","⚠ Falta hito",IF(ISNA(MATCH($C489,Cat_Nombre,0)),"⚠ Categoría inválida","OK")))</f>
        <v/>
      </c>
      <c r="G489" s="16">
        <f>IF($F489&lt;&gt;"OK","",IF(UPPER(TRIM($D489))="NO",INDEX(Cat_HMax,MATCH($C489,Cat_Nombre,0)),INDEX(Cat_HMin,MATCH($C489,Cat_Nombre,0))))</f>
        <v/>
      </c>
      <c r="H489" s="16">
        <f>IF($F489&lt;&gt;"OK","",INDEX(Cat_HMax,MATCH($C489,Cat_Nombre,0)))</f>
        <v/>
      </c>
      <c r="I489" s="16">
        <f>IF($F489&lt;&gt;"OK","",(G489+H489)/2)</f>
        <v/>
      </c>
      <c r="J489" s="16">
        <f>IF($F489&lt;&gt;"OK","",G489/HorasDia)</f>
        <v/>
      </c>
      <c r="K489" s="16">
        <f>IF($F489&lt;&gt;"OK","",I489/HorasDia)</f>
        <v/>
      </c>
      <c r="L489" s="16">
        <f>IF($F489&lt;&gt;"OK","",H489/HorasDia)</f>
        <v/>
      </c>
      <c r="M489" s="17">
        <f>IF($F489&lt;&gt;"OK","",IF(UPPER(TRIM($D489))="NO",INDEX(Cat_TMax,MATCH($C489,Cat_Nombre,0)),INDEX(Cat_TMin,MATCH($C489,Cat_Nombre,0))))</f>
        <v/>
      </c>
      <c r="N489" s="17">
        <f>IF($F489&lt;&gt;"OK","",INDEX(Cat_TMax,MATCH($C489,Cat_Nombre,0)))</f>
        <v/>
      </c>
      <c r="O489" s="18">
        <f>IF($F489&lt;&gt;"OK","",INDEX(Cat_POpus,MATCH($C489,Cat_Nombre,0)))</f>
        <v/>
      </c>
      <c r="P489" s="19">
        <f>IF($F489&lt;&gt;"OK","",M489/1000000*((1-O489)*UsdM_Sonnet+O489*UsdM_Opus))</f>
        <v/>
      </c>
      <c r="Q489" s="19">
        <f>IF($F489&lt;&gt;"OK","",N489/1000000*((1-O489)*UsdM_Sonnet+O489*UsdM_Opus))</f>
        <v/>
      </c>
      <c r="R489" s="19">
        <f>IF($F489&lt;&gt;"OK","",G489*TarifaHora)</f>
        <v/>
      </c>
      <c r="S489" s="19">
        <f>IF($F489&lt;&gt;"OK","",H489*TarifaHora)</f>
        <v/>
      </c>
      <c r="T489" s="10">
        <f>IF($F489&lt;&gt;"OK","",IF(COUNTIFS($A$2:$A489,$A489,$F$2:$F489,"OK")=1,MAX($T$1:$T488)+1,""))</f>
        <v/>
      </c>
    </row>
    <row r="490">
      <c r="A490" s="11" t="n"/>
      <c r="B490" s="11" t="n"/>
      <c r="C490" s="11" t="n"/>
      <c r="D490" s="11" t="n"/>
      <c r="E490" s="11" t="n"/>
      <c r="F490" s="10">
        <f>IF(AND($A490="",$B490="",$C490=""),"",IF($A490="","⚠ Falta hito",IF(ISNA(MATCH($C490,Cat_Nombre,0)),"⚠ Categoría inválida","OK")))</f>
        <v/>
      </c>
      <c r="G490" s="16">
        <f>IF($F490&lt;&gt;"OK","",IF(UPPER(TRIM($D490))="NO",INDEX(Cat_HMax,MATCH($C490,Cat_Nombre,0)),INDEX(Cat_HMin,MATCH($C490,Cat_Nombre,0))))</f>
        <v/>
      </c>
      <c r="H490" s="16">
        <f>IF($F490&lt;&gt;"OK","",INDEX(Cat_HMax,MATCH($C490,Cat_Nombre,0)))</f>
        <v/>
      </c>
      <c r="I490" s="16">
        <f>IF($F490&lt;&gt;"OK","",(G490+H490)/2)</f>
        <v/>
      </c>
      <c r="J490" s="16">
        <f>IF($F490&lt;&gt;"OK","",G490/HorasDia)</f>
        <v/>
      </c>
      <c r="K490" s="16">
        <f>IF($F490&lt;&gt;"OK","",I490/HorasDia)</f>
        <v/>
      </c>
      <c r="L490" s="16">
        <f>IF($F490&lt;&gt;"OK","",H490/HorasDia)</f>
        <v/>
      </c>
      <c r="M490" s="17">
        <f>IF($F490&lt;&gt;"OK","",IF(UPPER(TRIM($D490))="NO",INDEX(Cat_TMax,MATCH($C490,Cat_Nombre,0)),INDEX(Cat_TMin,MATCH($C490,Cat_Nombre,0))))</f>
        <v/>
      </c>
      <c r="N490" s="17">
        <f>IF($F490&lt;&gt;"OK","",INDEX(Cat_TMax,MATCH($C490,Cat_Nombre,0)))</f>
        <v/>
      </c>
      <c r="O490" s="18">
        <f>IF($F490&lt;&gt;"OK","",INDEX(Cat_POpus,MATCH($C490,Cat_Nombre,0)))</f>
        <v/>
      </c>
      <c r="P490" s="19">
        <f>IF($F490&lt;&gt;"OK","",M490/1000000*((1-O490)*UsdM_Sonnet+O490*UsdM_Opus))</f>
        <v/>
      </c>
      <c r="Q490" s="19">
        <f>IF($F490&lt;&gt;"OK","",N490/1000000*((1-O490)*UsdM_Sonnet+O490*UsdM_Opus))</f>
        <v/>
      </c>
      <c r="R490" s="19">
        <f>IF($F490&lt;&gt;"OK","",G490*TarifaHora)</f>
        <v/>
      </c>
      <c r="S490" s="19">
        <f>IF($F490&lt;&gt;"OK","",H490*TarifaHora)</f>
        <v/>
      </c>
      <c r="T490" s="10">
        <f>IF($F490&lt;&gt;"OK","",IF(COUNTIFS($A$2:$A490,$A490,$F$2:$F490,"OK")=1,MAX($T$1:$T489)+1,""))</f>
        <v/>
      </c>
    </row>
    <row r="491">
      <c r="A491" s="11" t="n"/>
      <c r="B491" s="11" t="n"/>
      <c r="C491" s="11" t="n"/>
      <c r="D491" s="11" t="n"/>
      <c r="E491" s="11" t="n"/>
      <c r="F491" s="10">
        <f>IF(AND($A491="",$B491="",$C491=""),"",IF($A491="","⚠ Falta hito",IF(ISNA(MATCH($C491,Cat_Nombre,0)),"⚠ Categoría inválida","OK")))</f>
        <v/>
      </c>
      <c r="G491" s="16">
        <f>IF($F491&lt;&gt;"OK","",IF(UPPER(TRIM($D491))="NO",INDEX(Cat_HMax,MATCH($C491,Cat_Nombre,0)),INDEX(Cat_HMin,MATCH($C491,Cat_Nombre,0))))</f>
        <v/>
      </c>
      <c r="H491" s="16">
        <f>IF($F491&lt;&gt;"OK","",INDEX(Cat_HMax,MATCH($C491,Cat_Nombre,0)))</f>
        <v/>
      </c>
      <c r="I491" s="16">
        <f>IF($F491&lt;&gt;"OK","",(G491+H491)/2)</f>
        <v/>
      </c>
      <c r="J491" s="16">
        <f>IF($F491&lt;&gt;"OK","",G491/HorasDia)</f>
        <v/>
      </c>
      <c r="K491" s="16">
        <f>IF($F491&lt;&gt;"OK","",I491/HorasDia)</f>
        <v/>
      </c>
      <c r="L491" s="16">
        <f>IF($F491&lt;&gt;"OK","",H491/HorasDia)</f>
        <v/>
      </c>
      <c r="M491" s="17">
        <f>IF($F491&lt;&gt;"OK","",IF(UPPER(TRIM($D491))="NO",INDEX(Cat_TMax,MATCH($C491,Cat_Nombre,0)),INDEX(Cat_TMin,MATCH($C491,Cat_Nombre,0))))</f>
        <v/>
      </c>
      <c r="N491" s="17">
        <f>IF($F491&lt;&gt;"OK","",INDEX(Cat_TMax,MATCH($C491,Cat_Nombre,0)))</f>
        <v/>
      </c>
      <c r="O491" s="18">
        <f>IF($F491&lt;&gt;"OK","",INDEX(Cat_POpus,MATCH($C491,Cat_Nombre,0)))</f>
        <v/>
      </c>
      <c r="P491" s="19">
        <f>IF($F491&lt;&gt;"OK","",M491/1000000*((1-O491)*UsdM_Sonnet+O491*UsdM_Opus))</f>
        <v/>
      </c>
      <c r="Q491" s="19">
        <f>IF($F491&lt;&gt;"OK","",N491/1000000*((1-O491)*UsdM_Sonnet+O491*UsdM_Opus))</f>
        <v/>
      </c>
      <c r="R491" s="19">
        <f>IF($F491&lt;&gt;"OK","",G491*TarifaHora)</f>
        <v/>
      </c>
      <c r="S491" s="19">
        <f>IF($F491&lt;&gt;"OK","",H491*TarifaHora)</f>
        <v/>
      </c>
      <c r="T491" s="10">
        <f>IF($F491&lt;&gt;"OK","",IF(COUNTIFS($A$2:$A491,$A491,$F$2:$F491,"OK")=1,MAX($T$1:$T490)+1,""))</f>
        <v/>
      </c>
    </row>
    <row r="492">
      <c r="A492" s="11" t="n"/>
      <c r="B492" s="11" t="n"/>
      <c r="C492" s="11" t="n"/>
      <c r="D492" s="11" t="n"/>
      <c r="E492" s="11" t="n"/>
      <c r="F492" s="10">
        <f>IF(AND($A492="",$B492="",$C492=""),"",IF($A492="","⚠ Falta hito",IF(ISNA(MATCH($C492,Cat_Nombre,0)),"⚠ Categoría inválida","OK")))</f>
        <v/>
      </c>
      <c r="G492" s="16">
        <f>IF($F492&lt;&gt;"OK","",IF(UPPER(TRIM($D492))="NO",INDEX(Cat_HMax,MATCH($C492,Cat_Nombre,0)),INDEX(Cat_HMin,MATCH($C492,Cat_Nombre,0))))</f>
        <v/>
      </c>
      <c r="H492" s="16">
        <f>IF($F492&lt;&gt;"OK","",INDEX(Cat_HMax,MATCH($C492,Cat_Nombre,0)))</f>
        <v/>
      </c>
      <c r="I492" s="16">
        <f>IF($F492&lt;&gt;"OK","",(G492+H492)/2)</f>
        <v/>
      </c>
      <c r="J492" s="16">
        <f>IF($F492&lt;&gt;"OK","",G492/HorasDia)</f>
        <v/>
      </c>
      <c r="K492" s="16">
        <f>IF($F492&lt;&gt;"OK","",I492/HorasDia)</f>
        <v/>
      </c>
      <c r="L492" s="16">
        <f>IF($F492&lt;&gt;"OK","",H492/HorasDia)</f>
        <v/>
      </c>
      <c r="M492" s="17">
        <f>IF($F492&lt;&gt;"OK","",IF(UPPER(TRIM($D492))="NO",INDEX(Cat_TMax,MATCH($C492,Cat_Nombre,0)),INDEX(Cat_TMin,MATCH($C492,Cat_Nombre,0))))</f>
        <v/>
      </c>
      <c r="N492" s="17">
        <f>IF($F492&lt;&gt;"OK","",INDEX(Cat_TMax,MATCH($C492,Cat_Nombre,0)))</f>
        <v/>
      </c>
      <c r="O492" s="18">
        <f>IF($F492&lt;&gt;"OK","",INDEX(Cat_POpus,MATCH($C492,Cat_Nombre,0)))</f>
        <v/>
      </c>
      <c r="P492" s="19">
        <f>IF($F492&lt;&gt;"OK","",M492/1000000*((1-O492)*UsdM_Sonnet+O492*UsdM_Opus))</f>
        <v/>
      </c>
      <c r="Q492" s="19">
        <f>IF($F492&lt;&gt;"OK","",N492/1000000*((1-O492)*UsdM_Sonnet+O492*UsdM_Opus))</f>
        <v/>
      </c>
      <c r="R492" s="19">
        <f>IF($F492&lt;&gt;"OK","",G492*TarifaHora)</f>
        <v/>
      </c>
      <c r="S492" s="19">
        <f>IF($F492&lt;&gt;"OK","",H492*TarifaHora)</f>
        <v/>
      </c>
      <c r="T492" s="10">
        <f>IF($F492&lt;&gt;"OK","",IF(COUNTIFS($A$2:$A492,$A492,$F$2:$F492,"OK")=1,MAX($T$1:$T491)+1,""))</f>
        <v/>
      </c>
    </row>
    <row r="493">
      <c r="A493" s="11" t="n"/>
      <c r="B493" s="11" t="n"/>
      <c r="C493" s="11" t="n"/>
      <c r="D493" s="11" t="n"/>
      <c r="E493" s="11" t="n"/>
      <c r="F493" s="10">
        <f>IF(AND($A493="",$B493="",$C493=""),"",IF($A493="","⚠ Falta hito",IF(ISNA(MATCH($C493,Cat_Nombre,0)),"⚠ Categoría inválida","OK")))</f>
        <v/>
      </c>
      <c r="G493" s="16">
        <f>IF($F493&lt;&gt;"OK","",IF(UPPER(TRIM($D493))="NO",INDEX(Cat_HMax,MATCH($C493,Cat_Nombre,0)),INDEX(Cat_HMin,MATCH($C493,Cat_Nombre,0))))</f>
        <v/>
      </c>
      <c r="H493" s="16">
        <f>IF($F493&lt;&gt;"OK","",INDEX(Cat_HMax,MATCH($C493,Cat_Nombre,0)))</f>
        <v/>
      </c>
      <c r="I493" s="16">
        <f>IF($F493&lt;&gt;"OK","",(G493+H493)/2)</f>
        <v/>
      </c>
      <c r="J493" s="16">
        <f>IF($F493&lt;&gt;"OK","",G493/HorasDia)</f>
        <v/>
      </c>
      <c r="K493" s="16">
        <f>IF($F493&lt;&gt;"OK","",I493/HorasDia)</f>
        <v/>
      </c>
      <c r="L493" s="16">
        <f>IF($F493&lt;&gt;"OK","",H493/HorasDia)</f>
        <v/>
      </c>
      <c r="M493" s="17">
        <f>IF($F493&lt;&gt;"OK","",IF(UPPER(TRIM($D493))="NO",INDEX(Cat_TMax,MATCH($C493,Cat_Nombre,0)),INDEX(Cat_TMin,MATCH($C493,Cat_Nombre,0))))</f>
        <v/>
      </c>
      <c r="N493" s="17">
        <f>IF($F493&lt;&gt;"OK","",INDEX(Cat_TMax,MATCH($C493,Cat_Nombre,0)))</f>
        <v/>
      </c>
      <c r="O493" s="18">
        <f>IF($F493&lt;&gt;"OK","",INDEX(Cat_POpus,MATCH($C493,Cat_Nombre,0)))</f>
        <v/>
      </c>
      <c r="P493" s="19">
        <f>IF($F493&lt;&gt;"OK","",M493/1000000*((1-O493)*UsdM_Sonnet+O493*UsdM_Opus))</f>
        <v/>
      </c>
      <c r="Q493" s="19">
        <f>IF($F493&lt;&gt;"OK","",N493/1000000*((1-O493)*UsdM_Sonnet+O493*UsdM_Opus))</f>
        <v/>
      </c>
      <c r="R493" s="19">
        <f>IF($F493&lt;&gt;"OK","",G493*TarifaHora)</f>
        <v/>
      </c>
      <c r="S493" s="19">
        <f>IF($F493&lt;&gt;"OK","",H493*TarifaHora)</f>
        <v/>
      </c>
      <c r="T493" s="10">
        <f>IF($F493&lt;&gt;"OK","",IF(COUNTIFS($A$2:$A493,$A493,$F$2:$F493,"OK")=1,MAX($T$1:$T492)+1,""))</f>
        <v/>
      </c>
    </row>
    <row r="494">
      <c r="A494" s="11" t="n"/>
      <c r="B494" s="11" t="n"/>
      <c r="C494" s="11" t="n"/>
      <c r="D494" s="11" t="n"/>
      <c r="E494" s="11" t="n"/>
      <c r="F494" s="10">
        <f>IF(AND($A494="",$B494="",$C494=""),"",IF($A494="","⚠ Falta hito",IF(ISNA(MATCH($C494,Cat_Nombre,0)),"⚠ Categoría inválida","OK")))</f>
        <v/>
      </c>
      <c r="G494" s="16">
        <f>IF($F494&lt;&gt;"OK","",IF(UPPER(TRIM($D494))="NO",INDEX(Cat_HMax,MATCH($C494,Cat_Nombre,0)),INDEX(Cat_HMin,MATCH($C494,Cat_Nombre,0))))</f>
        <v/>
      </c>
      <c r="H494" s="16">
        <f>IF($F494&lt;&gt;"OK","",INDEX(Cat_HMax,MATCH($C494,Cat_Nombre,0)))</f>
        <v/>
      </c>
      <c r="I494" s="16">
        <f>IF($F494&lt;&gt;"OK","",(G494+H494)/2)</f>
        <v/>
      </c>
      <c r="J494" s="16">
        <f>IF($F494&lt;&gt;"OK","",G494/HorasDia)</f>
        <v/>
      </c>
      <c r="K494" s="16">
        <f>IF($F494&lt;&gt;"OK","",I494/HorasDia)</f>
        <v/>
      </c>
      <c r="L494" s="16">
        <f>IF($F494&lt;&gt;"OK","",H494/HorasDia)</f>
        <v/>
      </c>
      <c r="M494" s="17">
        <f>IF($F494&lt;&gt;"OK","",IF(UPPER(TRIM($D494))="NO",INDEX(Cat_TMax,MATCH($C494,Cat_Nombre,0)),INDEX(Cat_TMin,MATCH($C494,Cat_Nombre,0))))</f>
        <v/>
      </c>
      <c r="N494" s="17">
        <f>IF($F494&lt;&gt;"OK","",INDEX(Cat_TMax,MATCH($C494,Cat_Nombre,0)))</f>
        <v/>
      </c>
      <c r="O494" s="18">
        <f>IF($F494&lt;&gt;"OK","",INDEX(Cat_POpus,MATCH($C494,Cat_Nombre,0)))</f>
        <v/>
      </c>
      <c r="P494" s="19">
        <f>IF($F494&lt;&gt;"OK","",M494/1000000*((1-O494)*UsdM_Sonnet+O494*UsdM_Opus))</f>
        <v/>
      </c>
      <c r="Q494" s="19">
        <f>IF($F494&lt;&gt;"OK","",N494/1000000*((1-O494)*UsdM_Sonnet+O494*UsdM_Opus))</f>
        <v/>
      </c>
      <c r="R494" s="19">
        <f>IF($F494&lt;&gt;"OK","",G494*TarifaHora)</f>
        <v/>
      </c>
      <c r="S494" s="19">
        <f>IF($F494&lt;&gt;"OK","",H494*TarifaHora)</f>
        <v/>
      </c>
      <c r="T494" s="10">
        <f>IF($F494&lt;&gt;"OK","",IF(COUNTIFS($A$2:$A494,$A494,$F$2:$F494,"OK")=1,MAX($T$1:$T493)+1,""))</f>
        <v/>
      </c>
    </row>
    <row r="495">
      <c r="A495" s="11" t="n"/>
      <c r="B495" s="11" t="n"/>
      <c r="C495" s="11" t="n"/>
      <c r="D495" s="11" t="n"/>
      <c r="E495" s="11" t="n"/>
      <c r="F495" s="10">
        <f>IF(AND($A495="",$B495="",$C495=""),"",IF($A495="","⚠ Falta hito",IF(ISNA(MATCH($C495,Cat_Nombre,0)),"⚠ Categoría inválida","OK")))</f>
        <v/>
      </c>
      <c r="G495" s="16">
        <f>IF($F495&lt;&gt;"OK","",IF(UPPER(TRIM($D495))="NO",INDEX(Cat_HMax,MATCH($C495,Cat_Nombre,0)),INDEX(Cat_HMin,MATCH($C495,Cat_Nombre,0))))</f>
        <v/>
      </c>
      <c r="H495" s="16">
        <f>IF($F495&lt;&gt;"OK","",INDEX(Cat_HMax,MATCH($C495,Cat_Nombre,0)))</f>
        <v/>
      </c>
      <c r="I495" s="16">
        <f>IF($F495&lt;&gt;"OK","",(G495+H495)/2)</f>
        <v/>
      </c>
      <c r="J495" s="16">
        <f>IF($F495&lt;&gt;"OK","",G495/HorasDia)</f>
        <v/>
      </c>
      <c r="K495" s="16">
        <f>IF($F495&lt;&gt;"OK","",I495/HorasDia)</f>
        <v/>
      </c>
      <c r="L495" s="16">
        <f>IF($F495&lt;&gt;"OK","",H495/HorasDia)</f>
        <v/>
      </c>
      <c r="M495" s="17">
        <f>IF($F495&lt;&gt;"OK","",IF(UPPER(TRIM($D495))="NO",INDEX(Cat_TMax,MATCH($C495,Cat_Nombre,0)),INDEX(Cat_TMin,MATCH($C495,Cat_Nombre,0))))</f>
        <v/>
      </c>
      <c r="N495" s="17">
        <f>IF($F495&lt;&gt;"OK","",INDEX(Cat_TMax,MATCH($C495,Cat_Nombre,0)))</f>
        <v/>
      </c>
      <c r="O495" s="18">
        <f>IF($F495&lt;&gt;"OK","",INDEX(Cat_POpus,MATCH($C495,Cat_Nombre,0)))</f>
        <v/>
      </c>
      <c r="P495" s="19">
        <f>IF($F495&lt;&gt;"OK","",M495/1000000*((1-O495)*UsdM_Sonnet+O495*UsdM_Opus))</f>
        <v/>
      </c>
      <c r="Q495" s="19">
        <f>IF($F495&lt;&gt;"OK","",N495/1000000*((1-O495)*UsdM_Sonnet+O495*UsdM_Opus))</f>
        <v/>
      </c>
      <c r="R495" s="19">
        <f>IF($F495&lt;&gt;"OK","",G495*TarifaHora)</f>
        <v/>
      </c>
      <c r="S495" s="19">
        <f>IF($F495&lt;&gt;"OK","",H495*TarifaHora)</f>
        <v/>
      </c>
      <c r="T495" s="10">
        <f>IF($F495&lt;&gt;"OK","",IF(COUNTIFS($A$2:$A495,$A495,$F$2:$F495,"OK")=1,MAX($T$1:$T494)+1,""))</f>
        <v/>
      </c>
    </row>
    <row r="496">
      <c r="A496" s="11" t="n"/>
      <c r="B496" s="11" t="n"/>
      <c r="C496" s="11" t="n"/>
      <c r="D496" s="11" t="n"/>
      <c r="E496" s="11" t="n"/>
      <c r="F496" s="10">
        <f>IF(AND($A496="",$B496="",$C496=""),"",IF($A496="","⚠ Falta hito",IF(ISNA(MATCH($C496,Cat_Nombre,0)),"⚠ Categoría inválida","OK")))</f>
        <v/>
      </c>
      <c r="G496" s="16">
        <f>IF($F496&lt;&gt;"OK","",IF(UPPER(TRIM($D496))="NO",INDEX(Cat_HMax,MATCH($C496,Cat_Nombre,0)),INDEX(Cat_HMin,MATCH($C496,Cat_Nombre,0))))</f>
        <v/>
      </c>
      <c r="H496" s="16">
        <f>IF($F496&lt;&gt;"OK","",INDEX(Cat_HMax,MATCH($C496,Cat_Nombre,0)))</f>
        <v/>
      </c>
      <c r="I496" s="16">
        <f>IF($F496&lt;&gt;"OK","",(G496+H496)/2)</f>
        <v/>
      </c>
      <c r="J496" s="16">
        <f>IF($F496&lt;&gt;"OK","",G496/HorasDia)</f>
        <v/>
      </c>
      <c r="K496" s="16">
        <f>IF($F496&lt;&gt;"OK","",I496/HorasDia)</f>
        <v/>
      </c>
      <c r="L496" s="16">
        <f>IF($F496&lt;&gt;"OK","",H496/HorasDia)</f>
        <v/>
      </c>
      <c r="M496" s="17">
        <f>IF($F496&lt;&gt;"OK","",IF(UPPER(TRIM($D496))="NO",INDEX(Cat_TMax,MATCH($C496,Cat_Nombre,0)),INDEX(Cat_TMin,MATCH($C496,Cat_Nombre,0))))</f>
        <v/>
      </c>
      <c r="N496" s="17">
        <f>IF($F496&lt;&gt;"OK","",INDEX(Cat_TMax,MATCH($C496,Cat_Nombre,0)))</f>
        <v/>
      </c>
      <c r="O496" s="18">
        <f>IF($F496&lt;&gt;"OK","",INDEX(Cat_POpus,MATCH($C496,Cat_Nombre,0)))</f>
        <v/>
      </c>
      <c r="P496" s="19">
        <f>IF($F496&lt;&gt;"OK","",M496/1000000*((1-O496)*UsdM_Sonnet+O496*UsdM_Opus))</f>
        <v/>
      </c>
      <c r="Q496" s="19">
        <f>IF($F496&lt;&gt;"OK","",N496/1000000*((1-O496)*UsdM_Sonnet+O496*UsdM_Opus))</f>
        <v/>
      </c>
      <c r="R496" s="19">
        <f>IF($F496&lt;&gt;"OK","",G496*TarifaHora)</f>
        <v/>
      </c>
      <c r="S496" s="19">
        <f>IF($F496&lt;&gt;"OK","",H496*TarifaHora)</f>
        <v/>
      </c>
      <c r="T496" s="10">
        <f>IF($F496&lt;&gt;"OK","",IF(COUNTIFS($A$2:$A496,$A496,$F$2:$F496,"OK")=1,MAX($T$1:$T495)+1,""))</f>
        <v/>
      </c>
    </row>
    <row r="497">
      <c r="A497" s="11" t="n"/>
      <c r="B497" s="11" t="n"/>
      <c r="C497" s="11" t="n"/>
      <c r="D497" s="11" t="n"/>
      <c r="E497" s="11" t="n"/>
      <c r="F497" s="10">
        <f>IF(AND($A497="",$B497="",$C497=""),"",IF($A497="","⚠ Falta hito",IF(ISNA(MATCH($C497,Cat_Nombre,0)),"⚠ Categoría inválida","OK")))</f>
        <v/>
      </c>
      <c r="G497" s="16">
        <f>IF($F497&lt;&gt;"OK","",IF(UPPER(TRIM($D497))="NO",INDEX(Cat_HMax,MATCH($C497,Cat_Nombre,0)),INDEX(Cat_HMin,MATCH($C497,Cat_Nombre,0))))</f>
        <v/>
      </c>
      <c r="H497" s="16">
        <f>IF($F497&lt;&gt;"OK","",INDEX(Cat_HMax,MATCH($C497,Cat_Nombre,0)))</f>
        <v/>
      </c>
      <c r="I497" s="16">
        <f>IF($F497&lt;&gt;"OK","",(G497+H497)/2)</f>
        <v/>
      </c>
      <c r="J497" s="16">
        <f>IF($F497&lt;&gt;"OK","",G497/HorasDia)</f>
        <v/>
      </c>
      <c r="K497" s="16">
        <f>IF($F497&lt;&gt;"OK","",I497/HorasDia)</f>
        <v/>
      </c>
      <c r="L497" s="16">
        <f>IF($F497&lt;&gt;"OK","",H497/HorasDia)</f>
        <v/>
      </c>
      <c r="M497" s="17">
        <f>IF($F497&lt;&gt;"OK","",IF(UPPER(TRIM($D497))="NO",INDEX(Cat_TMax,MATCH($C497,Cat_Nombre,0)),INDEX(Cat_TMin,MATCH($C497,Cat_Nombre,0))))</f>
        <v/>
      </c>
      <c r="N497" s="17">
        <f>IF($F497&lt;&gt;"OK","",INDEX(Cat_TMax,MATCH($C497,Cat_Nombre,0)))</f>
        <v/>
      </c>
      <c r="O497" s="18">
        <f>IF($F497&lt;&gt;"OK","",INDEX(Cat_POpus,MATCH($C497,Cat_Nombre,0)))</f>
        <v/>
      </c>
      <c r="P497" s="19">
        <f>IF($F497&lt;&gt;"OK","",M497/1000000*((1-O497)*UsdM_Sonnet+O497*UsdM_Opus))</f>
        <v/>
      </c>
      <c r="Q497" s="19">
        <f>IF($F497&lt;&gt;"OK","",N497/1000000*((1-O497)*UsdM_Sonnet+O497*UsdM_Opus))</f>
        <v/>
      </c>
      <c r="R497" s="19">
        <f>IF($F497&lt;&gt;"OK","",G497*TarifaHora)</f>
        <v/>
      </c>
      <c r="S497" s="19">
        <f>IF($F497&lt;&gt;"OK","",H497*TarifaHora)</f>
        <v/>
      </c>
      <c r="T497" s="10">
        <f>IF($F497&lt;&gt;"OK","",IF(COUNTIFS($A$2:$A497,$A497,$F$2:$F497,"OK")=1,MAX($T$1:$T496)+1,""))</f>
        <v/>
      </c>
    </row>
    <row r="498">
      <c r="A498" s="11" t="n"/>
      <c r="B498" s="11" t="n"/>
      <c r="C498" s="11" t="n"/>
      <c r="D498" s="11" t="n"/>
      <c r="E498" s="11" t="n"/>
      <c r="F498" s="10">
        <f>IF(AND($A498="",$B498="",$C498=""),"",IF($A498="","⚠ Falta hito",IF(ISNA(MATCH($C498,Cat_Nombre,0)),"⚠ Categoría inválida","OK")))</f>
        <v/>
      </c>
      <c r="G498" s="16">
        <f>IF($F498&lt;&gt;"OK","",IF(UPPER(TRIM($D498))="NO",INDEX(Cat_HMax,MATCH($C498,Cat_Nombre,0)),INDEX(Cat_HMin,MATCH($C498,Cat_Nombre,0))))</f>
        <v/>
      </c>
      <c r="H498" s="16">
        <f>IF($F498&lt;&gt;"OK","",INDEX(Cat_HMax,MATCH($C498,Cat_Nombre,0)))</f>
        <v/>
      </c>
      <c r="I498" s="16">
        <f>IF($F498&lt;&gt;"OK","",(G498+H498)/2)</f>
        <v/>
      </c>
      <c r="J498" s="16">
        <f>IF($F498&lt;&gt;"OK","",G498/HorasDia)</f>
        <v/>
      </c>
      <c r="K498" s="16">
        <f>IF($F498&lt;&gt;"OK","",I498/HorasDia)</f>
        <v/>
      </c>
      <c r="L498" s="16">
        <f>IF($F498&lt;&gt;"OK","",H498/HorasDia)</f>
        <v/>
      </c>
      <c r="M498" s="17">
        <f>IF($F498&lt;&gt;"OK","",IF(UPPER(TRIM($D498))="NO",INDEX(Cat_TMax,MATCH($C498,Cat_Nombre,0)),INDEX(Cat_TMin,MATCH($C498,Cat_Nombre,0))))</f>
        <v/>
      </c>
      <c r="N498" s="17">
        <f>IF($F498&lt;&gt;"OK","",INDEX(Cat_TMax,MATCH($C498,Cat_Nombre,0)))</f>
        <v/>
      </c>
      <c r="O498" s="18">
        <f>IF($F498&lt;&gt;"OK","",INDEX(Cat_POpus,MATCH($C498,Cat_Nombre,0)))</f>
        <v/>
      </c>
      <c r="P498" s="19">
        <f>IF($F498&lt;&gt;"OK","",M498/1000000*((1-O498)*UsdM_Sonnet+O498*UsdM_Opus))</f>
        <v/>
      </c>
      <c r="Q498" s="19">
        <f>IF($F498&lt;&gt;"OK","",N498/1000000*((1-O498)*UsdM_Sonnet+O498*UsdM_Opus))</f>
        <v/>
      </c>
      <c r="R498" s="19">
        <f>IF($F498&lt;&gt;"OK","",G498*TarifaHora)</f>
        <v/>
      </c>
      <c r="S498" s="19">
        <f>IF($F498&lt;&gt;"OK","",H498*TarifaHora)</f>
        <v/>
      </c>
      <c r="T498" s="10">
        <f>IF($F498&lt;&gt;"OK","",IF(COUNTIFS($A$2:$A498,$A498,$F$2:$F498,"OK")=1,MAX($T$1:$T497)+1,""))</f>
        <v/>
      </c>
    </row>
    <row r="499">
      <c r="A499" s="11" t="n"/>
      <c r="B499" s="11" t="n"/>
      <c r="C499" s="11" t="n"/>
      <c r="D499" s="11" t="n"/>
      <c r="E499" s="11" t="n"/>
      <c r="F499" s="10">
        <f>IF(AND($A499="",$B499="",$C499=""),"",IF($A499="","⚠ Falta hito",IF(ISNA(MATCH($C499,Cat_Nombre,0)),"⚠ Categoría inválida","OK")))</f>
        <v/>
      </c>
      <c r="G499" s="16">
        <f>IF($F499&lt;&gt;"OK","",IF(UPPER(TRIM($D499))="NO",INDEX(Cat_HMax,MATCH($C499,Cat_Nombre,0)),INDEX(Cat_HMin,MATCH($C499,Cat_Nombre,0))))</f>
        <v/>
      </c>
      <c r="H499" s="16">
        <f>IF($F499&lt;&gt;"OK","",INDEX(Cat_HMax,MATCH($C499,Cat_Nombre,0)))</f>
        <v/>
      </c>
      <c r="I499" s="16">
        <f>IF($F499&lt;&gt;"OK","",(G499+H499)/2)</f>
        <v/>
      </c>
      <c r="J499" s="16">
        <f>IF($F499&lt;&gt;"OK","",G499/HorasDia)</f>
        <v/>
      </c>
      <c r="K499" s="16">
        <f>IF($F499&lt;&gt;"OK","",I499/HorasDia)</f>
        <v/>
      </c>
      <c r="L499" s="16">
        <f>IF($F499&lt;&gt;"OK","",H499/HorasDia)</f>
        <v/>
      </c>
      <c r="M499" s="17">
        <f>IF($F499&lt;&gt;"OK","",IF(UPPER(TRIM($D499))="NO",INDEX(Cat_TMax,MATCH($C499,Cat_Nombre,0)),INDEX(Cat_TMin,MATCH($C499,Cat_Nombre,0))))</f>
        <v/>
      </c>
      <c r="N499" s="17">
        <f>IF($F499&lt;&gt;"OK","",INDEX(Cat_TMax,MATCH($C499,Cat_Nombre,0)))</f>
        <v/>
      </c>
      <c r="O499" s="18">
        <f>IF($F499&lt;&gt;"OK","",INDEX(Cat_POpus,MATCH($C499,Cat_Nombre,0)))</f>
        <v/>
      </c>
      <c r="P499" s="19">
        <f>IF($F499&lt;&gt;"OK","",M499/1000000*((1-O499)*UsdM_Sonnet+O499*UsdM_Opus))</f>
        <v/>
      </c>
      <c r="Q499" s="19">
        <f>IF($F499&lt;&gt;"OK","",N499/1000000*((1-O499)*UsdM_Sonnet+O499*UsdM_Opus))</f>
        <v/>
      </c>
      <c r="R499" s="19">
        <f>IF($F499&lt;&gt;"OK","",G499*TarifaHora)</f>
        <v/>
      </c>
      <c r="S499" s="19">
        <f>IF($F499&lt;&gt;"OK","",H499*TarifaHora)</f>
        <v/>
      </c>
      <c r="T499" s="10">
        <f>IF($F499&lt;&gt;"OK","",IF(COUNTIFS($A$2:$A499,$A499,$F$2:$F499,"OK")=1,MAX($T$1:$T498)+1,""))</f>
        <v/>
      </c>
    </row>
    <row r="500">
      <c r="A500" s="11" t="n"/>
      <c r="B500" s="11" t="n"/>
      <c r="C500" s="11" t="n"/>
      <c r="D500" s="11" t="n"/>
      <c r="E500" s="11" t="n"/>
      <c r="F500" s="10">
        <f>IF(AND($A500="",$B500="",$C500=""),"",IF($A500="","⚠ Falta hito",IF(ISNA(MATCH($C500,Cat_Nombre,0)),"⚠ Categoría inválida","OK")))</f>
        <v/>
      </c>
      <c r="G500" s="16">
        <f>IF($F500&lt;&gt;"OK","",IF(UPPER(TRIM($D500))="NO",INDEX(Cat_HMax,MATCH($C500,Cat_Nombre,0)),INDEX(Cat_HMin,MATCH($C500,Cat_Nombre,0))))</f>
        <v/>
      </c>
      <c r="H500" s="16">
        <f>IF($F500&lt;&gt;"OK","",INDEX(Cat_HMax,MATCH($C500,Cat_Nombre,0)))</f>
        <v/>
      </c>
      <c r="I500" s="16">
        <f>IF($F500&lt;&gt;"OK","",(G500+H500)/2)</f>
        <v/>
      </c>
      <c r="J500" s="16">
        <f>IF($F500&lt;&gt;"OK","",G500/HorasDia)</f>
        <v/>
      </c>
      <c r="K500" s="16">
        <f>IF($F500&lt;&gt;"OK","",I500/HorasDia)</f>
        <v/>
      </c>
      <c r="L500" s="16">
        <f>IF($F500&lt;&gt;"OK","",H500/HorasDia)</f>
        <v/>
      </c>
      <c r="M500" s="17">
        <f>IF($F500&lt;&gt;"OK","",IF(UPPER(TRIM($D500))="NO",INDEX(Cat_TMax,MATCH($C500,Cat_Nombre,0)),INDEX(Cat_TMin,MATCH($C500,Cat_Nombre,0))))</f>
        <v/>
      </c>
      <c r="N500" s="17">
        <f>IF($F500&lt;&gt;"OK","",INDEX(Cat_TMax,MATCH($C500,Cat_Nombre,0)))</f>
        <v/>
      </c>
      <c r="O500" s="18">
        <f>IF($F500&lt;&gt;"OK","",INDEX(Cat_POpus,MATCH($C500,Cat_Nombre,0)))</f>
        <v/>
      </c>
      <c r="P500" s="19">
        <f>IF($F500&lt;&gt;"OK","",M500/1000000*((1-O500)*UsdM_Sonnet+O500*UsdM_Opus))</f>
        <v/>
      </c>
      <c r="Q500" s="19">
        <f>IF($F500&lt;&gt;"OK","",N500/1000000*((1-O500)*UsdM_Sonnet+O500*UsdM_Opus))</f>
        <v/>
      </c>
      <c r="R500" s="19">
        <f>IF($F500&lt;&gt;"OK","",G500*TarifaHora)</f>
        <v/>
      </c>
      <c r="S500" s="19">
        <f>IF($F500&lt;&gt;"OK","",H500*TarifaHora)</f>
        <v/>
      </c>
      <c r="T500" s="10">
        <f>IF($F500&lt;&gt;"OK","",IF(COUNTIFS($A$2:$A500,$A500,$F$2:$F500,"OK")=1,MAX($T$1:$T499)+1,""))</f>
        <v/>
      </c>
    </row>
    <row r="501">
      <c r="A501" s="11" t="n"/>
      <c r="B501" s="11" t="n"/>
      <c r="C501" s="11" t="n"/>
      <c r="D501" s="11" t="n"/>
      <c r="E501" s="11" t="n"/>
      <c r="F501" s="10">
        <f>IF(AND($A501="",$B501="",$C501=""),"",IF($A501="","⚠ Falta hito",IF(ISNA(MATCH($C501,Cat_Nombre,0)),"⚠ Categoría inválida","OK")))</f>
        <v/>
      </c>
      <c r="G501" s="16">
        <f>IF($F501&lt;&gt;"OK","",IF(UPPER(TRIM($D501))="NO",INDEX(Cat_HMax,MATCH($C501,Cat_Nombre,0)),INDEX(Cat_HMin,MATCH($C501,Cat_Nombre,0))))</f>
        <v/>
      </c>
      <c r="H501" s="16">
        <f>IF($F501&lt;&gt;"OK","",INDEX(Cat_HMax,MATCH($C501,Cat_Nombre,0)))</f>
        <v/>
      </c>
      <c r="I501" s="16">
        <f>IF($F501&lt;&gt;"OK","",(G501+H501)/2)</f>
        <v/>
      </c>
      <c r="J501" s="16">
        <f>IF($F501&lt;&gt;"OK","",G501/HorasDia)</f>
        <v/>
      </c>
      <c r="K501" s="16">
        <f>IF($F501&lt;&gt;"OK","",I501/HorasDia)</f>
        <v/>
      </c>
      <c r="L501" s="16">
        <f>IF($F501&lt;&gt;"OK","",H501/HorasDia)</f>
        <v/>
      </c>
      <c r="M501" s="17">
        <f>IF($F501&lt;&gt;"OK","",IF(UPPER(TRIM($D501))="NO",INDEX(Cat_TMax,MATCH($C501,Cat_Nombre,0)),INDEX(Cat_TMin,MATCH($C501,Cat_Nombre,0))))</f>
        <v/>
      </c>
      <c r="N501" s="17">
        <f>IF($F501&lt;&gt;"OK","",INDEX(Cat_TMax,MATCH($C501,Cat_Nombre,0)))</f>
        <v/>
      </c>
      <c r="O501" s="18">
        <f>IF($F501&lt;&gt;"OK","",INDEX(Cat_POpus,MATCH($C501,Cat_Nombre,0)))</f>
        <v/>
      </c>
      <c r="P501" s="19">
        <f>IF($F501&lt;&gt;"OK","",M501/1000000*((1-O501)*UsdM_Sonnet+O501*UsdM_Opus))</f>
        <v/>
      </c>
      <c r="Q501" s="19">
        <f>IF($F501&lt;&gt;"OK","",N501/1000000*((1-O501)*UsdM_Sonnet+O501*UsdM_Opus))</f>
        <v/>
      </c>
      <c r="R501" s="19">
        <f>IF($F501&lt;&gt;"OK","",G501*TarifaHora)</f>
        <v/>
      </c>
      <c r="S501" s="19">
        <f>IF($F501&lt;&gt;"OK","",H501*TarifaHora)</f>
        <v/>
      </c>
      <c r="T501" s="10">
        <f>IF($F501&lt;&gt;"OK","",IF(COUNTIFS($A$2:$A501,$A501,$F$2:$F501,"OK")=1,MAX($T$1:$T500)+1,""))</f>
        <v/>
      </c>
    </row>
  </sheetData>
  <autoFilter ref="A1:S501"/>
  <conditionalFormatting sqref="F2:F501">
    <cfRule type="expression" priority="1" dxfId="0">
      <formula>LEFT($F2,1)="⚠"</formula>
    </cfRule>
  </conditionalFormatting>
  <dataValidations count="2">
    <dataValidation sqref="C2:C501" showDropDown="0" showInputMessage="0" showErrorMessage="0" allowBlank="1" type="list">
      <formula1>=Cat_Nombre</formula1>
    </dataValidation>
    <dataValidation sqref="D2:D5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10" customWidth="1" min="4" max="4"/>
    <col width="11" customWidth="1" min="5" max="5"/>
    <col width="11" customWidth="1" min="6" max="6"/>
    <col width="13" customWidth="1" min="7" max="7"/>
    <col width="13" customWidth="1" min="8" max="8"/>
    <col width="16" customWidth="1" min="9" max="9"/>
    <col width="12" customWidth="1" min="10" max="10"/>
    <col width="12" customWidth="1" min="11" max="11"/>
    <col width="14" customWidth="1" min="12" max="12"/>
    <col width="14" customWidth="1" min="13" max="13"/>
    <col width="16" customWidth="1" min="14" max="14"/>
  </cols>
  <sheetData>
    <row r="1">
      <c r="A1" s="1" t="inlineStr">
        <is>
          <t>Cotización (uso interno)</t>
        </is>
      </c>
    </row>
    <row r="2">
      <c r="A2" s="20" t="inlineStr">
        <is>
          <t>Proyecto</t>
        </is>
      </c>
      <c r="B2" s="11" t="n"/>
      <c r="D2" s="21">
        <f>IF(COUNTIF(Features!$F:$F,"⚠*")=0,"","⚠ Hay "&amp;COUNTIF(Features!$F:$F,"⚠*")&amp;" feature(s) con error en la hoja Features (no se incluyen)")</f>
        <v/>
      </c>
    </row>
    <row r="3">
      <c r="A3" s="20" t="inlineStr">
        <is>
          <t>Cliente</t>
        </is>
      </c>
      <c r="B3" s="11" t="n"/>
    </row>
    <row r="4">
      <c r="A4" s="20" t="inlineStr">
        <is>
          <t>Fecha</t>
        </is>
      </c>
      <c r="B4" s="11" t="n"/>
    </row>
    <row r="6" ht="32" customHeight="1">
      <c r="A6" s="3" t="inlineStr">
        <is>
          <t>#</t>
        </is>
      </c>
      <c r="B6" s="3" t="inlineStr">
        <is>
          <t>Hito</t>
        </is>
      </c>
      <c r="C6" s="3" t="inlineStr">
        <is>
          <t>Nº features</t>
        </is>
      </c>
      <c r="D6" s="3" t="inlineStr">
        <is>
          <t>Días mín</t>
        </is>
      </c>
      <c r="E6" s="3" t="inlineStr">
        <is>
          <t>Días promedio</t>
        </is>
      </c>
      <c r="F6" s="3" t="inlineStr">
        <is>
          <t>Días pesimista</t>
        </is>
      </c>
      <c r="G6" s="3" t="inlineStr">
        <is>
          <t>Días comprometidos</t>
        </is>
      </c>
      <c r="H6" s="3" t="inlineStr">
        <is>
          <t>Horas comprometidas</t>
        </is>
      </c>
      <c r="I6" s="3" t="inlineStr">
        <is>
          <t>Costo tiempo comprometido</t>
        </is>
      </c>
      <c r="J6" s="3" t="inlineStr">
        <is>
          <t>Costo IA mín</t>
        </is>
      </c>
      <c r="K6" s="3" t="inlineStr">
        <is>
          <t>Costo IA máx</t>
        </is>
      </c>
      <c r="L6" s="3" t="inlineStr">
        <is>
          <t>Costo total mín</t>
        </is>
      </c>
      <c r="M6" s="3" t="inlineStr">
        <is>
          <t>Costo total máx</t>
        </is>
      </c>
      <c r="N6" s="3" t="inlineStr">
        <is>
          <t>Precio sugerido</t>
        </is>
      </c>
    </row>
    <row r="7">
      <c r="A7" s="4" t="n">
        <v>1</v>
      </c>
      <c r="B7" s="4">
        <f>IFERROR(INDEX(Features!$A:$A,MATCH($A7,Features!$T:$T,0)),"")</f>
        <v/>
      </c>
      <c r="C7" s="22">
        <f>IF($B7="","",COUNTIFS(Features!$A:$A,$B7,Features!$F:$F,"OK"))</f>
        <v/>
      </c>
      <c r="D7" s="23">
        <f>IF($B7="","",SUMIFS(Features!$J:$J,Features!$A:$A,$B7,Features!$F:$F,"OK"))</f>
        <v/>
      </c>
      <c r="E7" s="23">
        <f>IF($B7="","",SUMIFS(Features!$K:$K,Features!$A:$A,$B7,Features!$F:$F,"OK"))</f>
        <v/>
      </c>
      <c r="F7" s="23">
        <f>IF($B7="","",SUMIFS(Features!$L:$L,Features!$A:$A,$B7,Features!$F:$F,"OK"))</f>
        <v/>
      </c>
      <c r="G7" s="23">
        <f>IF($B7="","",E7+FactorColchon*(F7-E7))</f>
        <v/>
      </c>
      <c r="H7" s="23">
        <f>IF($B7="","",G7*HorasDia)</f>
        <v/>
      </c>
      <c r="I7" s="24">
        <f>IF($B7="","",H7*TarifaHora)</f>
        <v/>
      </c>
      <c r="J7" s="24">
        <f>IF($B7="","",SUMIFS(Features!$P:$P,Features!$A:$A,$B7,Features!$F:$F,"OK"))</f>
        <v/>
      </c>
      <c r="K7" s="24">
        <f>IF($B7="","",SUMIFS(Features!$Q:$Q,Features!$A:$A,$B7,Features!$F:$F,"OK"))</f>
        <v/>
      </c>
      <c r="L7" s="24">
        <f>IF($B7="","",I7+J7)</f>
        <v/>
      </c>
      <c r="M7" s="24">
        <f>IF($B7="","",I7+K7)</f>
        <v/>
      </c>
      <c r="N7" s="24">
        <f>IF($B7="","",M7*(1+Margen))</f>
        <v/>
      </c>
    </row>
    <row r="8">
      <c r="A8" s="4" t="n">
        <v>2</v>
      </c>
      <c r="B8" s="4">
        <f>IFERROR(INDEX(Features!$A:$A,MATCH($A8,Features!$T:$T,0)),"")</f>
        <v/>
      </c>
      <c r="C8" s="22">
        <f>IF($B8="","",COUNTIFS(Features!$A:$A,$B8,Features!$F:$F,"OK"))</f>
        <v/>
      </c>
      <c r="D8" s="23">
        <f>IF($B8="","",SUMIFS(Features!$J:$J,Features!$A:$A,$B8,Features!$F:$F,"OK"))</f>
        <v/>
      </c>
      <c r="E8" s="23">
        <f>IF($B8="","",SUMIFS(Features!$K:$K,Features!$A:$A,$B8,Features!$F:$F,"OK"))</f>
        <v/>
      </c>
      <c r="F8" s="23">
        <f>IF($B8="","",SUMIFS(Features!$L:$L,Features!$A:$A,$B8,Features!$F:$F,"OK"))</f>
        <v/>
      </c>
      <c r="G8" s="23">
        <f>IF($B8="","",E8+FactorColchon*(F8-E8))</f>
        <v/>
      </c>
      <c r="H8" s="23">
        <f>IF($B8="","",G8*HorasDia)</f>
        <v/>
      </c>
      <c r="I8" s="24">
        <f>IF($B8="","",H8*TarifaHora)</f>
        <v/>
      </c>
      <c r="J8" s="24">
        <f>IF($B8="","",SUMIFS(Features!$P:$P,Features!$A:$A,$B8,Features!$F:$F,"OK"))</f>
        <v/>
      </c>
      <c r="K8" s="24">
        <f>IF($B8="","",SUMIFS(Features!$Q:$Q,Features!$A:$A,$B8,Features!$F:$F,"OK"))</f>
        <v/>
      </c>
      <c r="L8" s="24">
        <f>IF($B8="","",I8+J8)</f>
        <v/>
      </c>
      <c r="M8" s="24">
        <f>IF($B8="","",I8+K8)</f>
        <v/>
      </c>
      <c r="N8" s="24">
        <f>IF($B8="","",M8*(1+Margen))</f>
        <v/>
      </c>
    </row>
    <row r="9">
      <c r="A9" s="4" t="n">
        <v>3</v>
      </c>
      <c r="B9" s="4">
        <f>IFERROR(INDEX(Features!$A:$A,MATCH($A9,Features!$T:$T,0)),"")</f>
        <v/>
      </c>
      <c r="C9" s="22">
        <f>IF($B9="","",COUNTIFS(Features!$A:$A,$B9,Features!$F:$F,"OK"))</f>
        <v/>
      </c>
      <c r="D9" s="23">
        <f>IF($B9="","",SUMIFS(Features!$J:$J,Features!$A:$A,$B9,Features!$F:$F,"OK"))</f>
        <v/>
      </c>
      <c r="E9" s="23">
        <f>IF($B9="","",SUMIFS(Features!$K:$K,Features!$A:$A,$B9,Features!$F:$F,"OK"))</f>
        <v/>
      </c>
      <c r="F9" s="23">
        <f>IF($B9="","",SUMIFS(Features!$L:$L,Features!$A:$A,$B9,Features!$F:$F,"OK"))</f>
        <v/>
      </c>
      <c r="G9" s="23">
        <f>IF($B9="","",E9+FactorColchon*(F9-E9))</f>
        <v/>
      </c>
      <c r="H9" s="23">
        <f>IF($B9="","",G9*HorasDia)</f>
        <v/>
      </c>
      <c r="I9" s="24">
        <f>IF($B9="","",H9*TarifaHora)</f>
        <v/>
      </c>
      <c r="J9" s="24">
        <f>IF($B9="","",SUMIFS(Features!$P:$P,Features!$A:$A,$B9,Features!$F:$F,"OK"))</f>
        <v/>
      </c>
      <c r="K9" s="24">
        <f>IF($B9="","",SUMIFS(Features!$Q:$Q,Features!$A:$A,$B9,Features!$F:$F,"OK"))</f>
        <v/>
      </c>
      <c r="L9" s="24">
        <f>IF($B9="","",I9+J9)</f>
        <v/>
      </c>
      <c r="M9" s="24">
        <f>IF($B9="","",I9+K9)</f>
        <v/>
      </c>
      <c r="N9" s="24">
        <f>IF($B9="","",M9*(1+Margen))</f>
        <v/>
      </c>
    </row>
    <row r="10">
      <c r="A10" s="4" t="n">
        <v>4</v>
      </c>
      <c r="B10" s="4">
        <f>IFERROR(INDEX(Features!$A:$A,MATCH($A10,Features!$T:$T,0)),"")</f>
        <v/>
      </c>
      <c r="C10" s="22">
        <f>IF($B10="","",COUNTIFS(Features!$A:$A,$B10,Features!$F:$F,"OK"))</f>
        <v/>
      </c>
      <c r="D10" s="23">
        <f>IF($B10="","",SUMIFS(Features!$J:$J,Features!$A:$A,$B10,Features!$F:$F,"OK"))</f>
        <v/>
      </c>
      <c r="E10" s="23">
        <f>IF($B10="","",SUMIFS(Features!$K:$K,Features!$A:$A,$B10,Features!$F:$F,"OK"))</f>
        <v/>
      </c>
      <c r="F10" s="23">
        <f>IF($B10="","",SUMIFS(Features!$L:$L,Features!$A:$A,$B10,Features!$F:$F,"OK"))</f>
        <v/>
      </c>
      <c r="G10" s="23">
        <f>IF($B10="","",E10+FactorColchon*(F10-E10))</f>
        <v/>
      </c>
      <c r="H10" s="23">
        <f>IF($B10="","",G10*HorasDia)</f>
        <v/>
      </c>
      <c r="I10" s="24">
        <f>IF($B10="","",H10*TarifaHora)</f>
        <v/>
      </c>
      <c r="J10" s="24">
        <f>IF($B10="","",SUMIFS(Features!$P:$P,Features!$A:$A,$B10,Features!$F:$F,"OK"))</f>
        <v/>
      </c>
      <c r="K10" s="24">
        <f>IF($B10="","",SUMIFS(Features!$Q:$Q,Features!$A:$A,$B10,Features!$F:$F,"OK"))</f>
        <v/>
      </c>
      <c r="L10" s="24">
        <f>IF($B10="","",I10+J10)</f>
        <v/>
      </c>
      <c r="M10" s="24">
        <f>IF($B10="","",I10+K10)</f>
        <v/>
      </c>
      <c r="N10" s="24">
        <f>IF($B10="","",M10*(1+Margen))</f>
        <v/>
      </c>
    </row>
    <row r="11">
      <c r="A11" s="4" t="n">
        <v>5</v>
      </c>
      <c r="B11" s="4">
        <f>IFERROR(INDEX(Features!$A:$A,MATCH($A11,Features!$T:$T,0)),"")</f>
        <v/>
      </c>
      <c r="C11" s="22">
        <f>IF($B11="","",COUNTIFS(Features!$A:$A,$B11,Features!$F:$F,"OK"))</f>
        <v/>
      </c>
      <c r="D11" s="23">
        <f>IF($B11="","",SUMIFS(Features!$J:$J,Features!$A:$A,$B11,Features!$F:$F,"OK"))</f>
        <v/>
      </c>
      <c r="E11" s="23">
        <f>IF($B11="","",SUMIFS(Features!$K:$K,Features!$A:$A,$B11,Features!$F:$F,"OK"))</f>
        <v/>
      </c>
      <c r="F11" s="23">
        <f>IF($B11="","",SUMIFS(Features!$L:$L,Features!$A:$A,$B11,Features!$F:$F,"OK"))</f>
        <v/>
      </c>
      <c r="G11" s="23">
        <f>IF($B11="","",E11+FactorColchon*(F11-E11))</f>
        <v/>
      </c>
      <c r="H11" s="23">
        <f>IF($B11="","",G11*HorasDia)</f>
        <v/>
      </c>
      <c r="I11" s="24">
        <f>IF($B11="","",H11*TarifaHora)</f>
        <v/>
      </c>
      <c r="J11" s="24">
        <f>IF($B11="","",SUMIFS(Features!$P:$P,Features!$A:$A,$B11,Features!$F:$F,"OK"))</f>
        <v/>
      </c>
      <c r="K11" s="24">
        <f>IF($B11="","",SUMIFS(Features!$Q:$Q,Features!$A:$A,$B11,Features!$F:$F,"OK"))</f>
        <v/>
      </c>
      <c r="L11" s="24">
        <f>IF($B11="","",I11+J11)</f>
        <v/>
      </c>
      <c r="M11" s="24">
        <f>IF($B11="","",I11+K11)</f>
        <v/>
      </c>
      <c r="N11" s="24">
        <f>IF($B11="","",M11*(1+Margen))</f>
        <v/>
      </c>
    </row>
    <row r="12">
      <c r="A12" s="4" t="n">
        <v>6</v>
      </c>
      <c r="B12" s="4">
        <f>IFERROR(INDEX(Features!$A:$A,MATCH($A12,Features!$T:$T,0)),"")</f>
        <v/>
      </c>
      <c r="C12" s="22">
        <f>IF($B12="","",COUNTIFS(Features!$A:$A,$B12,Features!$F:$F,"OK"))</f>
        <v/>
      </c>
      <c r="D12" s="23">
        <f>IF($B12="","",SUMIFS(Features!$J:$J,Features!$A:$A,$B12,Features!$F:$F,"OK"))</f>
        <v/>
      </c>
      <c r="E12" s="23">
        <f>IF($B12="","",SUMIFS(Features!$K:$K,Features!$A:$A,$B12,Features!$F:$F,"OK"))</f>
        <v/>
      </c>
      <c r="F12" s="23">
        <f>IF($B12="","",SUMIFS(Features!$L:$L,Features!$A:$A,$B12,Features!$F:$F,"OK"))</f>
        <v/>
      </c>
      <c r="G12" s="23">
        <f>IF($B12="","",E12+FactorColchon*(F12-E12))</f>
        <v/>
      </c>
      <c r="H12" s="23">
        <f>IF($B12="","",G12*HorasDia)</f>
        <v/>
      </c>
      <c r="I12" s="24">
        <f>IF($B12="","",H12*TarifaHora)</f>
        <v/>
      </c>
      <c r="J12" s="24">
        <f>IF($B12="","",SUMIFS(Features!$P:$P,Features!$A:$A,$B12,Features!$F:$F,"OK"))</f>
        <v/>
      </c>
      <c r="K12" s="24">
        <f>IF($B12="","",SUMIFS(Features!$Q:$Q,Features!$A:$A,$B12,Features!$F:$F,"OK"))</f>
        <v/>
      </c>
      <c r="L12" s="24">
        <f>IF($B12="","",I12+J12)</f>
        <v/>
      </c>
      <c r="M12" s="24">
        <f>IF($B12="","",I12+K12)</f>
        <v/>
      </c>
      <c r="N12" s="24">
        <f>IF($B12="","",M12*(1+Margen))</f>
        <v/>
      </c>
    </row>
    <row r="13">
      <c r="A13" s="4" t="n">
        <v>7</v>
      </c>
      <c r="B13" s="4">
        <f>IFERROR(INDEX(Features!$A:$A,MATCH($A13,Features!$T:$T,0)),"")</f>
        <v/>
      </c>
      <c r="C13" s="22">
        <f>IF($B13="","",COUNTIFS(Features!$A:$A,$B13,Features!$F:$F,"OK"))</f>
        <v/>
      </c>
      <c r="D13" s="23">
        <f>IF($B13="","",SUMIFS(Features!$J:$J,Features!$A:$A,$B13,Features!$F:$F,"OK"))</f>
        <v/>
      </c>
      <c r="E13" s="23">
        <f>IF($B13="","",SUMIFS(Features!$K:$K,Features!$A:$A,$B13,Features!$F:$F,"OK"))</f>
        <v/>
      </c>
      <c r="F13" s="23">
        <f>IF($B13="","",SUMIFS(Features!$L:$L,Features!$A:$A,$B13,Features!$F:$F,"OK"))</f>
        <v/>
      </c>
      <c r="G13" s="23">
        <f>IF($B13="","",E13+FactorColchon*(F13-E13))</f>
        <v/>
      </c>
      <c r="H13" s="23">
        <f>IF($B13="","",G13*HorasDia)</f>
        <v/>
      </c>
      <c r="I13" s="24">
        <f>IF($B13="","",H13*TarifaHora)</f>
        <v/>
      </c>
      <c r="J13" s="24">
        <f>IF($B13="","",SUMIFS(Features!$P:$P,Features!$A:$A,$B13,Features!$F:$F,"OK"))</f>
        <v/>
      </c>
      <c r="K13" s="24">
        <f>IF($B13="","",SUMIFS(Features!$Q:$Q,Features!$A:$A,$B13,Features!$F:$F,"OK"))</f>
        <v/>
      </c>
      <c r="L13" s="24">
        <f>IF($B13="","",I13+J13)</f>
        <v/>
      </c>
      <c r="M13" s="24">
        <f>IF($B13="","",I13+K13)</f>
        <v/>
      </c>
      <c r="N13" s="24">
        <f>IF($B13="","",M13*(1+Margen))</f>
        <v/>
      </c>
    </row>
    <row r="14">
      <c r="A14" s="4" t="n">
        <v>8</v>
      </c>
      <c r="B14" s="4">
        <f>IFERROR(INDEX(Features!$A:$A,MATCH($A14,Features!$T:$T,0)),"")</f>
        <v/>
      </c>
      <c r="C14" s="22">
        <f>IF($B14="","",COUNTIFS(Features!$A:$A,$B14,Features!$F:$F,"OK"))</f>
        <v/>
      </c>
      <c r="D14" s="23">
        <f>IF($B14="","",SUMIFS(Features!$J:$J,Features!$A:$A,$B14,Features!$F:$F,"OK"))</f>
        <v/>
      </c>
      <c r="E14" s="23">
        <f>IF($B14="","",SUMIFS(Features!$K:$K,Features!$A:$A,$B14,Features!$F:$F,"OK"))</f>
        <v/>
      </c>
      <c r="F14" s="23">
        <f>IF($B14="","",SUMIFS(Features!$L:$L,Features!$A:$A,$B14,Features!$F:$F,"OK"))</f>
        <v/>
      </c>
      <c r="G14" s="23">
        <f>IF($B14="","",E14+FactorColchon*(F14-E14))</f>
        <v/>
      </c>
      <c r="H14" s="23">
        <f>IF($B14="","",G14*HorasDia)</f>
        <v/>
      </c>
      <c r="I14" s="24">
        <f>IF($B14="","",H14*TarifaHora)</f>
        <v/>
      </c>
      <c r="J14" s="24">
        <f>IF($B14="","",SUMIFS(Features!$P:$P,Features!$A:$A,$B14,Features!$F:$F,"OK"))</f>
        <v/>
      </c>
      <c r="K14" s="24">
        <f>IF($B14="","",SUMIFS(Features!$Q:$Q,Features!$A:$A,$B14,Features!$F:$F,"OK"))</f>
        <v/>
      </c>
      <c r="L14" s="24">
        <f>IF($B14="","",I14+J14)</f>
        <v/>
      </c>
      <c r="M14" s="24">
        <f>IF($B14="","",I14+K14)</f>
        <v/>
      </c>
      <c r="N14" s="24">
        <f>IF($B14="","",M14*(1+Margen))</f>
        <v/>
      </c>
    </row>
    <row r="15">
      <c r="A15" s="4" t="n">
        <v>9</v>
      </c>
      <c r="B15" s="4">
        <f>IFERROR(INDEX(Features!$A:$A,MATCH($A15,Features!$T:$T,0)),"")</f>
        <v/>
      </c>
      <c r="C15" s="22">
        <f>IF($B15="","",COUNTIFS(Features!$A:$A,$B15,Features!$F:$F,"OK"))</f>
        <v/>
      </c>
      <c r="D15" s="23">
        <f>IF($B15="","",SUMIFS(Features!$J:$J,Features!$A:$A,$B15,Features!$F:$F,"OK"))</f>
        <v/>
      </c>
      <c r="E15" s="23">
        <f>IF($B15="","",SUMIFS(Features!$K:$K,Features!$A:$A,$B15,Features!$F:$F,"OK"))</f>
        <v/>
      </c>
      <c r="F15" s="23">
        <f>IF($B15="","",SUMIFS(Features!$L:$L,Features!$A:$A,$B15,Features!$F:$F,"OK"))</f>
        <v/>
      </c>
      <c r="G15" s="23">
        <f>IF($B15="","",E15+FactorColchon*(F15-E15))</f>
        <v/>
      </c>
      <c r="H15" s="23">
        <f>IF($B15="","",G15*HorasDia)</f>
        <v/>
      </c>
      <c r="I15" s="24">
        <f>IF($B15="","",H15*TarifaHora)</f>
        <v/>
      </c>
      <c r="J15" s="24">
        <f>IF($B15="","",SUMIFS(Features!$P:$P,Features!$A:$A,$B15,Features!$F:$F,"OK"))</f>
        <v/>
      </c>
      <c r="K15" s="24">
        <f>IF($B15="","",SUMIFS(Features!$Q:$Q,Features!$A:$A,$B15,Features!$F:$F,"OK"))</f>
        <v/>
      </c>
      <c r="L15" s="24">
        <f>IF($B15="","",I15+J15)</f>
        <v/>
      </c>
      <c r="M15" s="24">
        <f>IF($B15="","",I15+K15)</f>
        <v/>
      </c>
      <c r="N15" s="24">
        <f>IF($B15="","",M15*(1+Margen))</f>
        <v/>
      </c>
    </row>
    <row r="16">
      <c r="A16" s="4" t="n">
        <v>10</v>
      </c>
      <c r="B16" s="4">
        <f>IFERROR(INDEX(Features!$A:$A,MATCH($A16,Features!$T:$T,0)),"")</f>
        <v/>
      </c>
      <c r="C16" s="22">
        <f>IF($B16="","",COUNTIFS(Features!$A:$A,$B16,Features!$F:$F,"OK"))</f>
        <v/>
      </c>
      <c r="D16" s="23">
        <f>IF($B16="","",SUMIFS(Features!$J:$J,Features!$A:$A,$B16,Features!$F:$F,"OK"))</f>
        <v/>
      </c>
      <c r="E16" s="23">
        <f>IF($B16="","",SUMIFS(Features!$K:$K,Features!$A:$A,$B16,Features!$F:$F,"OK"))</f>
        <v/>
      </c>
      <c r="F16" s="23">
        <f>IF($B16="","",SUMIFS(Features!$L:$L,Features!$A:$A,$B16,Features!$F:$F,"OK"))</f>
        <v/>
      </c>
      <c r="G16" s="23">
        <f>IF($B16="","",E16+FactorColchon*(F16-E16))</f>
        <v/>
      </c>
      <c r="H16" s="23">
        <f>IF($B16="","",G16*HorasDia)</f>
        <v/>
      </c>
      <c r="I16" s="24">
        <f>IF($B16="","",H16*TarifaHora)</f>
        <v/>
      </c>
      <c r="J16" s="24">
        <f>IF($B16="","",SUMIFS(Features!$P:$P,Features!$A:$A,$B16,Features!$F:$F,"OK"))</f>
        <v/>
      </c>
      <c r="K16" s="24">
        <f>IF($B16="","",SUMIFS(Features!$Q:$Q,Features!$A:$A,$B16,Features!$F:$F,"OK"))</f>
        <v/>
      </c>
      <c r="L16" s="24">
        <f>IF($B16="","",I16+J16)</f>
        <v/>
      </c>
      <c r="M16" s="24">
        <f>IF($B16="","",I16+K16)</f>
        <v/>
      </c>
      <c r="N16" s="24">
        <f>IF($B16="","",M16*(1+Margen))</f>
        <v/>
      </c>
    </row>
    <row r="17">
      <c r="A17" s="4" t="n">
        <v>11</v>
      </c>
      <c r="B17" s="4">
        <f>IFERROR(INDEX(Features!$A:$A,MATCH($A17,Features!$T:$T,0)),"")</f>
        <v/>
      </c>
      <c r="C17" s="22">
        <f>IF($B17="","",COUNTIFS(Features!$A:$A,$B17,Features!$F:$F,"OK"))</f>
        <v/>
      </c>
      <c r="D17" s="23">
        <f>IF($B17="","",SUMIFS(Features!$J:$J,Features!$A:$A,$B17,Features!$F:$F,"OK"))</f>
        <v/>
      </c>
      <c r="E17" s="23">
        <f>IF($B17="","",SUMIFS(Features!$K:$K,Features!$A:$A,$B17,Features!$F:$F,"OK"))</f>
        <v/>
      </c>
      <c r="F17" s="23">
        <f>IF($B17="","",SUMIFS(Features!$L:$L,Features!$A:$A,$B17,Features!$F:$F,"OK"))</f>
        <v/>
      </c>
      <c r="G17" s="23">
        <f>IF($B17="","",E17+FactorColchon*(F17-E17))</f>
        <v/>
      </c>
      <c r="H17" s="23">
        <f>IF($B17="","",G17*HorasDia)</f>
        <v/>
      </c>
      <c r="I17" s="24">
        <f>IF($B17="","",H17*TarifaHora)</f>
        <v/>
      </c>
      <c r="J17" s="24">
        <f>IF($B17="","",SUMIFS(Features!$P:$P,Features!$A:$A,$B17,Features!$F:$F,"OK"))</f>
        <v/>
      </c>
      <c r="K17" s="24">
        <f>IF($B17="","",SUMIFS(Features!$Q:$Q,Features!$A:$A,$B17,Features!$F:$F,"OK"))</f>
        <v/>
      </c>
      <c r="L17" s="24">
        <f>IF($B17="","",I17+J17)</f>
        <v/>
      </c>
      <c r="M17" s="24">
        <f>IF($B17="","",I17+K17)</f>
        <v/>
      </c>
      <c r="N17" s="24">
        <f>IF($B17="","",M17*(1+Margen))</f>
        <v/>
      </c>
    </row>
    <row r="18">
      <c r="A18" s="4" t="n">
        <v>12</v>
      </c>
      <c r="B18" s="4">
        <f>IFERROR(INDEX(Features!$A:$A,MATCH($A18,Features!$T:$T,0)),"")</f>
        <v/>
      </c>
      <c r="C18" s="22">
        <f>IF($B18="","",COUNTIFS(Features!$A:$A,$B18,Features!$F:$F,"OK"))</f>
        <v/>
      </c>
      <c r="D18" s="23">
        <f>IF($B18="","",SUMIFS(Features!$J:$J,Features!$A:$A,$B18,Features!$F:$F,"OK"))</f>
        <v/>
      </c>
      <c r="E18" s="23">
        <f>IF($B18="","",SUMIFS(Features!$K:$K,Features!$A:$A,$B18,Features!$F:$F,"OK"))</f>
        <v/>
      </c>
      <c r="F18" s="23">
        <f>IF($B18="","",SUMIFS(Features!$L:$L,Features!$A:$A,$B18,Features!$F:$F,"OK"))</f>
        <v/>
      </c>
      <c r="G18" s="23">
        <f>IF($B18="","",E18+FactorColchon*(F18-E18))</f>
        <v/>
      </c>
      <c r="H18" s="23">
        <f>IF($B18="","",G18*HorasDia)</f>
        <v/>
      </c>
      <c r="I18" s="24">
        <f>IF($B18="","",H18*TarifaHora)</f>
        <v/>
      </c>
      <c r="J18" s="24">
        <f>IF($B18="","",SUMIFS(Features!$P:$P,Features!$A:$A,$B18,Features!$F:$F,"OK"))</f>
        <v/>
      </c>
      <c r="K18" s="24">
        <f>IF($B18="","",SUMIFS(Features!$Q:$Q,Features!$A:$A,$B18,Features!$F:$F,"OK"))</f>
        <v/>
      </c>
      <c r="L18" s="24">
        <f>IF($B18="","",I18+J18)</f>
        <v/>
      </c>
      <c r="M18" s="24">
        <f>IF($B18="","",I18+K18)</f>
        <v/>
      </c>
      <c r="N18" s="24">
        <f>IF($B18="","",M18*(1+Margen))</f>
        <v/>
      </c>
    </row>
    <row r="19">
      <c r="A19" s="4" t="n">
        <v>13</v>
      </c>
      <c r="B19" s="4">
        <f>IFERROR(INDEX(Features!$A:$A,MATCH($A19,Features!$T:$T,0)),"")</f>
        <v/>
      </c>
      <c r="C19" s="22">
        <f>IF($B19="","",COUNTIFS(Features!$A:$A,$B19,Features!$F:$F,"OK"))</f>
        <v/>
      </c>
      <c r="D19" s="23">
        <f>IF($B19="","",SUMIFS(Features!$J:$J,Features!$A:$A,$B19,Features!$F:$F,"OK"))</f>
        <v/>
      </c>
      <c r="E19" s="23">
        <f>IF($B19="","",SUMIFS(Features!$K:$K,Features!$A:$A,$B19,Features!$F:$F,"OK"))</f>
        <v/>
      </c>
      <c r="F19" s="23">
        <f>IF($B19="","",SUMIFS(Features!$L:$L,Features!$A:$A,$B19,Features!$F:$F,"OK"))</f>
        <v/>
      </c>
      <c r="G19" s="23">
        <f>IF($B19="","",E19+FactorColchon*(F19-E19))</f>
        <v/>
      </c>
      <c r="H19" s="23">
        <f>IF($B19="","",G19*HorasDia)</f>
        <v/>
      </c>
      <c r="I19" s="24">
        <f>IF($B19="","",H19*TarifaHora)</f>
        <v/>
      </c>
      <c r="J19" s="24">
        <f>IF($B19="","",SUMIFS(Features!$P:$P,Features!$A:$A,$B19,Features!$F:$F,"OK"))</f>
        <v/>
      </c>
      <c r="K19" s="24">
        <f>IF($B19="","",SUMIFS(Features!$Q:$Q,Features!$A:$A,$B19,Features!$F:$F,"OK"))</f>
        <v/>
      </c>
      <c r="L19" s="24">
        <f>IF($B19="","",I19+J19)</f>
        <v/>
      </c>
      <c r="M19" s="24">
        <f>IF($B19="","",I19+K19)</f>
        <v/>
      </c>
      <c r="N19" s="24">
        <f>IF($B19="","",M19*(1+Margen))</f>
        <v/>
      </c>
    </row>
    <row r="20">
      <c r="A20" s="4" t="n">
        <v>14</v>
      </c>
      <c r="B20" s="4">
        <f>IFERROR(INDEX(Features!$A:$A,MATCH($A20,Features!$T:$T,0)),"")</f>
        <v/>
      </c>
      <c r="C20" s="22">
        <f>IF($B20="","",COUNTIFS(Features!$A:$A,$B20,Features!$F:$F,"OK"))</f>
        <v/>
      </c>
      <c r="D20" s="23">
        <f>IF($B20="","",SUMIFS(Features!$J:$J,Features!$A:$A,$B20,Features!$F:$F,"OK"))</f>
        <v/>
      </c>
      <c r="E20" s="23">
        <f>IF($B20="","",SUMIFS(Features!$K:$K,Features!$A:$A,$B20,Features!$F:$F,"OK"))</f>
        <v/>
      </c>
      <c r="F20" s="23">
        <f>IF($B20="","",SUMIFS(Features!$L:$L,Features!$A:$A,$B20,Features!$F:$F,"OK"))</f>
        <v/>
      </c>
      <c r="G20" s="23">
        <f>IF($B20="","",E20+FactorColchon*(F20-E20))</f>
        <v/>
      </c>
      <c r="H20" s="23">
        <f>IF($B20="","",G20*HorasDia)</f>
        <v/>
      </c>
      <c r="I20" s="24">
        <f>IF($B20="","",H20*TarifaHora)</f>
        <v/>
      </c>
      <c r="J20" s="24">
        <f>IF($B20="","",SUMIFS(Features!$P:$P,Features!$A:$A,$B20,Features!$F:$F,"OK"))</f>
        <v/>
      </c>
      <c r="K20" s="24">
        <f>IF($B20="","",SUMIFS(Features!$Q:$Q,Features!$A:$A,$B20,Features!$F:$F,"OK"))</f>
        <v/>
      </c>
      <c r="L20" s="24">
        <f>IF($B20="","",I20+J20)</f>
        <v/>
      </c>
      <c r="M20" s="24">
        <f>IF($B20="","",I20+K20)</f>
        <v/>
      </c>
      <c r="N20" s="24">
        <f>IF($B20="","",M20*(1+Margen))</f>
        <v/>
      </c>
    </row>
    <row r="21">
      <c r="A21" s="4" t="n">
        <v>15</v>
      </c>
      <c r="B21" s="4">
        <f>IFERROR(INDEX(Features!$A:$A,MATCH($A21,Features!$T:$T,0)),"")</f>
        <v/>
      </c>
      <c r="C21" s="22">
        <f>IF($B21="","",COUNTIFS(Features!$A:$A,$B21,Features!$F:$F,"OK"))</f>
        <v/>
      </c>
      <c r="D21" s="23">
        <f>IF($B21="","",SUMIFS(Features!$J:$J,Features!$A:$A,$B21,Features!$F:$F,"OK"))</f>
        <v/>
      </c>
      <c r="E21" s="23">
        <f>IF($B21="","",SUMIFS(Features!$K:$K,Features!$A:$A,$B21,Features!$F:$F,"OK"))</f>
        <v/>
      </c>
      <c r="F21" s="23">
        <f>IF($B21="","",SUMIFS(Features!$L:$L,Features!$A:$A,$B21,Features!$F:$F,"OK"))</f>
        <v/>
      </c>
      <c r="G21" s="23">
        <f>IF($B21="","",E21+FactorColchon*(F21-E21))</f>
        <v/>
      </c>
      <c r="H21" s="23">
        <f>IF($B21="","",G21*HorasDia)</f>
        <v/>
      </c>
      <c r="I21" s="24">
        <f>IF($B21="","",H21*TarifaHora)</f>
        <v/>
      </c>
      <c r="J21" s="24">
        <f>IF($B21="","",SUMIFS(Features!$P:$P,Features!$A:$A,$B21,Features!$F:$F,"OK"))</f>
        <v/>
      </c>
      <c r="K21" s="24">
        <f>IF($B21="","",SUMIFS(Features!$Q:$Q,Features!$A:$A,$B21,Features!$F:$F,"OK"))</f>
        <v/>
      </c>
      <c r="L21" s="24">
        <f>IF($B21="","",I21+J21)</f>
        <v/>
      </c>
      <c r="M21" s="24">
        <f>IF($B21="","",I21+K21)</f>
        <v/>
      </c>
      <c r="N21" s="24">
        <f>IF($B21="","",M21*(1+Margen))</f>
        <v/>
      </c>
    </row>
    <row r="22">
      <c r="A22" s="4" t="n">
        <v>16</v>
      </c>
      <c r="B22" s="4">
        <f>IFERROR(INDEX(Features!$A:$A,MATCH($A22,Features!$T:$T,0)),"")</f>
        <v/>
      </c>
      <c r="C22" s="22">
        <f>IF($B22="","",COUNTIFS(Features!$A:$A,$B22,Features!$F:$F,"OK"))</f>
        <v/>
      </c>
      <c r="D22" s="23">
        <f>IF($B22="","",SUMIFS(Features!$J:$J,Features!$A:$A,$B22,Features!$F:$F,"OK"))</f>
        <v/>
      </c>
      <c r="E22" s="23">
        <f>IF($B22="","",SUMIFS(Features!$K:$K,Features!$A:$A,$B22,Features!$F:$F,"OK"))</f>
        <v/>
      </c>
      <c r="F22" s="23">
        <f>IF($B22="","",SUMIFS(Features!$L:$L,Features!$A:$A,$B22,Features!$F:$F,"OK"))</f>
        <v/>
      </c>
      <c r="G22" s="23">
        <f>IF($B22="","",E22+FactorColchon*(F22-E22))</f>
        <v/>
      </c>
      <c r="H22" s="23">
        <f>IF($B22="","",G22*HorasDia)</f>
        <v/>
      </c>
      <c r="I22" s="24">
        <f>IF($B22="","",H22*TarifaHora)</f>
        <v/>
      </c>
      <c r="J22" s="24">
        <f>IF($B22="","",SUMIFS(Features!$P:$P,Features!$A:$A,$B22,Features!$F:$F,"OK"))</f>
        <v/>
      </c>
      <c r="K22" s="24">
        <f>IF($B22="","",SUMIFS(Features!$Q:$Q,Features!$A:$A,$B22,Features!$F:$F,"OK"))</f>
        <v/>
      </c>
      <c r="L22" s="24">
        <f>IF($B22="","",I22+J22)</f>
        <v/>
      </c>
      <c r="M22" s="24">
        <f>IF($B22="","",I22+K22)</f>
        <v/>
      </c>
      <c r="N22" s="24">
        <f>IF($B22="","",M22*(1+Margen))</f>
        <v/>
      </c>
    </row>
    <row r="23">
      <c r="A23" s="4" t="n">
        <v>17</v>
      </c>
      <c r="B23" s="4">
        <f>IFERROR(INDEX(Features!$A:$A,MATCH($A23,Features!$T:$T,0)),"")</f>
        <v/>
      </c>
      <c r="C23" s="22">
        <f>IF($B23="","",COUNTIFS(Features!$A:$A,$B23,Features!$F:$F,"OK"))</f>
        <v/>
      </c>
      <c r="D23" s="23">
        <f>IF($B23="","",SUMIFS(Features!$J:$J,Features!$A:$A,$B23,Features!$F:$F,"OK"))</f>
        <v/>
      </c>
      <c r="E23" s="23">
        <f>IF($B23="","",SUMIFS(Features!$K:$K,Features!$A:$A,$B23,Features!$F:$F,"OK"))</f>
        <v/>
      </c>
      <c r="F23" s="23">
        <f>IF($B23="","",SUMIFS(Features!$L:$L,Features!$A:$A,$B23,Features!$F:$F,"OK"))</f>
        <v/>
      </c>
      <c r="G23" s="23">
        <f>IF($B23="","",E23+FactorColchon*(F23-E23))</f>
        <v/>
      </c>
      <c r="H23" s="23">
        <f>IF($B23="","",G23*HorasDia)</f>
        <v/>
      </c>
      <c r="I23" s="24">
        <f>IF($B23="","",H23*TarifaHora)</f>
        <v/>
      </c>
      <c r="J23" s="24">
        <f>IF($B23="","",SUMIFS(Features!$P:$P,Features!$A:$A,$B23,Features!$F:$F,"OK"))</f>
        <v/>
      </c>
      <c r="K23" s="24">
        <f>IF($B23="","",SUMIFS(Features!$Q:$Q,Features!$A:$A,$B23,Features!$F:$F,"OK"))</f>
        <v/>
      </c>
      <c r="L23" s="24">
        <f>IF($B23="","",I23+J23)</f>
        <v/>
      </c>
      <c r="M23" s="24">
        <f>IF($B23="","",I23+K23)</f>
        <v/>
      </c>
      <c r="N23" s="24">
        <f>IF($B23="","",M23*(1+Margen))</f>
        <v/>
      </c>
    </row>
    <row r="24">
      <c r="A24" s="4" t="n">
        <v>18</v>
      </c>
      <c r="B24" s="4">
        <f>IFERROR(INDEX(Features!$A:$A,MATCH($A24,Features!$T:$T,0)),"")</f>
        <v/>
      </c>
      <c r="C24" s="22">
        <f>IF($B24="","",COUNTIFS(Features!$A:$A,$B24,Features!$F:$F,"OK"))</f>
        <v/>
      </c>
      <c r="D24" s="23">
        <f>IF($B24="","",SUMIFS(Features!$J:$J,Features!$A:$A,$B24,Features!$F:$F,"OK"))</f>
        <v/>
      </c>
      <c r="E24" s="23">
        <f>IF($B24="","",SUMIFS(Features!$K:$K,Features!$A:$A,$B24,Features!$F:$F,"OK"))</f>
        <v/>
      </c>
      <c r="F24" s="23">
        <f>IF($B24="","",SUMIFS(Features!$L:$L,Features!$A:$A,$B24,Features!$F:$F,"OK"))</f>
        <v/>
      </c>
      <c r="G24" s="23">
        <f>IF($B24="","",E24+FactorColchon*(F24-E24))</f>
        <v/>
      </c>
      <c r="H24" s="23">
        <f>IF($B24="","",G24*HorasDia)</f>
        <v/>
      </c>
      <c r="I24" s="24">
        <f>IF($B24="","",H24*TarifaHora)</f>
        <v/>
      </c>
      <c r="J24" s="24">
        <f>IF($B24="","",SUMIFS(Features!$P:$P,Features!$A:$A,$B24,Features!$F:$F,"OK"))</f>
        <v/>
      </c>
      <c r="K24" s="24">
        <f>IF($B24="","",SUMIFS(Features!$Q:$Q,Features!$A:$A,$B24,Features!$F:$F,"OK"))</f>
        <v/>
      </c>
      <c r="L24" s="24">
        <f>IF($B24="","",I24+J24)</f>
        <v/>
      </c>
      <c r="M24" s="24">
        <f>IF($B24="","",I24+K24)</f>
        <v/>
      </c>
      <c r="N24" s="24">
        <f>IF($B24="","",M24*(1+Margen))</f>
        <v/>
      </c>
    </row>
    <row r="25">
      <c r="A25" s="4" t="n">
        <v>19</v>
      </c>
      <c r="B25" s="4">
        <f>IFERROR(INDEX(Features!$A:$A,MATCH($A25,Features!$T:$T,0)),"")</f>
        <v/>
      </c>
      <c r="C25" s="22">
        <f>IF($B25="","",COUNTIFS(Features!$A:$A,$B25,Features!$F:$F,"OK"))</f>
        <v/>
      </c>
      <c r="D25" s="23">
        <f>IF($B25="","",SUMIFS(Features!$J:$J,Features!$A:$A,$B25,Features!$F:$F,"OK"))</f>
        <v/>
      </c>
      <c r="E25" s="23">
        <f>IF($B25="","",SUMIFS(Features!$K:$K,Features!$A:$A,$B25,Features!$F:$F,"OK"))</f>
        <v/>
      </c>
      <c r="F25" s="23">
        <f>IF($B25="","",SUMIFS(Features!$L:$L,Features!$A:$A,$B25,Features!$F:$F,"OK"))</f>
        <v/>
      </c>
      <c r="G25" s="23">
        <f>IF($B25="","",E25+FactorColchon*(F25-E25))</f>
        <v/>
      </c>
      <c r="H25" s="23">
        <f>IF($B25="","",G25*HorasDia)</f>
        <v/>
      </c>
      <c r="I25" s="24">
        <f>IF($B25="","",H25*TarifaHora)</f>
        <v/>
      </c>
      <c r="J25" s="24">
        <f>IF($B25="","",SUMIFS(Features!$P:$P,Features!$A:$A,$B25,Features!$F:$F,"OK"))</f>
        <v/>
      </c>
      <c r="K25" s="24">
        <f>IF($B25="","",SUMIFS(Features!$Q:$Q,Features!$A:$A,$B25,Features!$F:$F,"OK"))</f>
        <v/>
      </c>
      <c r="L25" s="24">
        <f>IF($B25="","",I25+J25)</f>
        <v/>
      </c>
      <c r="M25" s="24">
        <f>IF($B25="","",I25+K25)</f>
        <v/>
      </c>
      <c r="N25" s="24">
        <f>IF($B25="","",M25*(1+Margen))</f>
        <v/>
      </c>
    </row>
    <row r="26">
      <c r="A26" s="4" t="n">
        <v>20</v>
      </c>
      <c r="B26" s="4">
        <f>IFERROR(INDEX(Features!$A:$A,MATCH($A26,Features!$T:$T,0)),"")</f>
        <v/>
      </c>
      <c r="C26" s="22">
        <f>IF($B26="","",COUNTIFS(Features!$A:$A,$B26,Features!$F:$F,"OK"))</f>
        <v/>
      </c>
      <c r="D26" s="23">
        <f>IF($B26="","",SUMIFS(Features!$J:$J,Features!$A:$A,$B26,Features!$F:$F,"OK"))</f>
        <v/>
      </c>
      <c r="E26" s="23">
        <f>IF($B26="","",SUMIFS(Features!$K:$K,Features!$A:$A,$B26,Features!$F:$F,"OK"))</f>
        <v/>
      </c>
      <c r="F26" s="23">
        <f>IF($B26="","",SUMIFS(Features!$L:$L,Features!$A:$A,$B26,Features!$F:$F,"OK"))</f>
        <v/>
      </c>
      <c r="G26" s="23">
        <f>IF($B26="","",E26+FactorColchon*(F26-E26))</f>
        <v/>
      </c>
      <c r="H26" s="23">
        <f>IF($B26="","",G26*HorasDia)</f>
        <v/>
      </c>
      <c r="I26" s="24">
        <f>IF($B26="","",H26*TarifaHora)</f>
        <v/>
      </c>
      <c r="J26" s="24">
        <f>IF($B26="","",SUMIFS(Features!$P:$P,Features!$A:$A,$B26,Features!$F:$F,"OK"))</f>
        <v/>
      </c>
      <c r="K26" s="24">
        <f>IF($B26="","",SUMIFS(Features!$Q:$Q,Features!$A:$A,$B26,Features!$F:$F,"OK"))</f>
        <v/>
      </c>
      <c r="L26" s="24">
        <f>IF($B26="","",I26+J26)</f>
        <v/>
      </c>
      <c r="M26" s="24">
        <f>IF($B26="","",I26+K26)</f>
        <v/>
      </c>
      <c r="N26" s="24">
        <f>IF($B26="","",M26*(1+Margen))</f>
        <v/>
      </c>
    </row>
    <row r="27">
      <c r="A27" s="4" t="n">
        <v>21</v>
      </c>
      <c r="B27" s="4">
        <f>IFERROR(INDEX(Features!$A:$A,MATCH($A27,Features!$T:$T,0)),"")</f>
        <v/>
      </c>
      <c r="C27" s="22">
        <f>IF($B27="","",COUNTIFS(Features!$A:$A,$B27,Features!$F:$F,"OK"))</f>
        <v/>
      </c>
      <c r="D27" s="23">
        <f>IF($B27="","",SUMIFS(Features!$J:$J,Features!$A:$A,$B27,Features!$F:$F,"OK"))</f>
        <v/>
      </c>
      <c r="E27" s="23">
        <f>IF($B27="","",SUMIFS(Features!$K:$K,Features!$A:$A,$B27,Features!$F:$F,"OK"))</f>
        <v/>
      </c>
      <c r="F27" s="23">
        <f>IF($B27="","",SUMIFS(Features!$L:$L,Features!$A:$A,$B27,Features!$F:$F,"OK"))</f>
        <v/>
      </c>
      <c r="G27" s="23">
        <f>IF($B27="","",E27+FactorColchon*(F27-E27))</f>
        <v/>
      </c>
      <c r="H27" s="23">
        <f>IF($B27="","",G27*HorasDia)</f>
        <v/>
      </c>
      <c r="I27" s="24">
        <f>IF($B27="","",H27*TarifaHora)</f>
        <v/>
      </c>
      <c r="J27" s="24">
        <f>IF($B27="","",SUMIFS(Features!$P:$P,Features!$A:$A,$B27,Features!$F:$F,"OK"))</f>
        <v/>
      </c>
      <c r="K27" s="24">
        <f>IF($B27="","",SUMIFS(Features!$Q:$Q,Features!$A:$A,$B27,Features!$F:$F,"OK"))</f>
        <v/>
      </c>
      <c r="L27" s="24">
        <f>IF($B27="","",I27+J27)</f>
        <v/>
      </c>
      <c r="M27" s="24">
        <f>IF($B27="","",I27+K27)</f>
        <v/>
      </c>
      <c r="N27" s="24">
        <f>IF($B27="","",M27*(1+Margen))</f>
        <v/>
      </c>
    </row>
    <row r="28">
      <c r="A28" s="4" t="n">
        <v>22</v>
      </c>
      <c r="B28" s="4">
        <f>IFERROR(INDEX(Features!$A:$A,MATCH($A28,Features!$T:$T,0)),"")</f>
        <v/>
      </c>
      <c r="C28" s="22">
        <f>IF($B28="","",COUNTIFS(Features!$A:$A,$B28,Features!$F:$F,"OK"))</f>
        <v/>
      </c>
      <c r="D28" s="23">
        <f>IF($B28="","",SUMIFS(Features!$J:$J,Features!$A:$A,$B28,Features!$F:$F,"OK"))</f>
        <v/>
      </c>
      <c r="E28" s="23">
        <f>IF($B28="","",SUMIFS(Features!$K:$K,Features!$A:$A,$B28,Features!$F:$F,"OK"))</f>
        <v/>
      </c>
      <c r="F28" s="23">
        <f>IF($B28="","",SUMIFS(Features!$L:$L,Features!$A:$A,$B28,Features!$F:$F,"OK"))</f>
        <v/>
      </c>
      <c r="G28" s="23">
        <f>IF($B28="","",E28+FactorColchon*(F28-E28))</f>
        <v/>
      </c>
      <c r="H28" s="23">
        <f>IF($B28="","",G28*HorasDia)</f>
        <v/>
      </c>
      <c r="I28" s="24">
        <f>IF($B28="","",H28*TarifaHora)</f>
        <v/>
      </c>
      <c r="J28" s="24">
        <f>IF($B28="","",SUMIFS(Features!$P:$P,Features!$A:$A,$B28,Features!$F:$F,"OK"))</f>
        <v/>
      </c>
      <c r="K28" s="24">
        <f>IF($B28="","",SUMIFS(Features!$Q:$Q,Features!$A:$A,$B28,Features!$F:$F,"OK"))</f>
        <v/>
      </c>
      <c r="L28" s="24">
        <f>IF($B28="","",I28+J28)</f>
        <v/>
      </c>
      <c r="M28" s="24">
        <f>IF($B28="","",I28+K28)</f>
        <v/>
      </c>
      <c r="N28" s="24">
        <f>IF($B28="","",M28*(1+Margen))</f>
        <v/>
      </c>
    </row>
    <row r="29">
      <c r="A29" s="4" t="n">
        <v>23</v>
      </c>
      <c r="B29" s="4">
        <f>IFERROR(INDEX(Features!$A:$A,MATCH($A29,Features!$T:$T,0)),"")</f>
        <v/>
      </c>
      <c r="C29" s="22">
        <f>IF($B29="","",COUNTIFS(Features!$A:$A,$B29,Features!$F:$F,"OK"))</f>
        <v/>
      </c>
      <c r="D29" s="23">
        <f>IF($B29="","",SUMIFS(Features!$J:$J,Features!$A:$A,$B29,Features!$F:$F,"OK"))</f>
        <v/>
      </c>
      <c r="E29" s="23">
        <f>IF($B29="","",SUMIFS(Features!$K:$K,Features!$A:$A,$B29,Features!$F:$F,"OK"))</f>
        <v/>
      </c>
      <c r="F29" s="23">
        <f>IF($B29="","",SUMIFS(Features!$L:$L,Features!$A:$A,$B29,Features!$F:$F,"OK"))</f>
        <v/>
      </c>
      <c r="G29" s="23">
        <f>IF($B29="","",E29+FactorColchon*(F29-E29))</f>
        <v/>
      </c>
      <c r="H29" s="23">
        <f>IF($B29="","",G29*HorasDia)</f>
        <v/>
      </c>
      <c r="I29" s="24">
        <f>IF($B29="","",H29*TarifaHora)</f>
        <v/>
      </c>
      <c r="J29" s="24">
        <f>IF($B29="","",SUMIFS(Features!$P:$P,Features!$A:$A,$B29,Features!$F:$F,"OK"))</f>
        <v/>
      </c>
      <c r="K29" s="24">
        <f>IF($B29="","",SUMIFS(Features!$Q:$Q,Features!$A:$A,$B29,Features!$F:$F,"OK"))</f>
        <v/>
      </c>
      <c r="L29" s="24">
        <f>IF($B29="","",I29+J29)</f>
        <v/>
      </c>
      <c r="M29" s="24">
        <f>IF($B29="","",I29+K29)</f>
        <v/>
      </c>
      <c r="N29" s="24">
        <f>IF($B29="","",M29*(1+Margen))</f>
        <v/>
      </c>
    </row>
    <row r="30">
      <c r="A30" s="4" t="n">
        <v>24</v>
      </c>
      <c r="B30" s="4">
        <f>IFERROR(INDEX(Features!$A:$A,MATCH($A30,Features!$T:$T,0)),"")</f>
        <v/>
      </c>
      <c r="C30" s="22">
        <f>IF($B30="","",COUNTIFS(Features!$A:$A,$B30,Features!$F:$F,"OK"))</f>
        <v/>
      </c>
      <c r="D30" s="23">
        <f>IF($B30="","",SUMIFS(Features!$J:$J,Features!$A:$A,$B30,Features!$F:$F,"OK"))</f>
        <v/>
      </c>
      <c r="E30" s="23">
        <f>IF($B30="","",SUMIFS(Features!$K:$K,Features!$A:$A,$B30,Features!$F:$F,"OK"))</f>
        <v/>
      </c>
      <c r="F30" s="23">
        <f>IF($B30="","",SUMIFS(Features!$L:$L,Features!$A:$A,$B30,Features!$F:$F,"OK"))</f>
        <v/>
      </c>
      <c r="G30" s="23">
        <f>IF($B30="","",E30+FactorColchon*(F30-E30))</f>
        <v/>
      </c>
      <c r="H30" s="23">
        <f>IF($B30="","",G30*HorasDia)</f>
        <v/>
      </c>
      <c r="I30" s="24">
        <f>IF($B30="","",H30*TarifaHora)</f>
        <v/>
      </c>
      <c r="J30" s="24">
        <f>IF($B30="","",SUMIFS(Features!$P:$P,Features!$A:$A,$B30,Features!$F:$F,"OK"))</f>
        <v/>
      </c>
      <c r="K30" s="24">
        <f>IF($B30="","",SUMIFS(Features!$Q:$Q,Features!$A:$A,$B30,Features!$F:$F,"OK"))</f>
        <v/>
      </c>
      <c r="L30" s="24">
        <f>IF($B30="","",I30+J30)</f>
        <v/>
      </c>
      <c r="M30" s="24">
        <f>IF($B30="","",I30+K30)</f>
        <v/>
      </c>
      <c r="N30" s="24">
        <f>IF($B30="","",M30*(1+Margen))</f>
        <v/>
      </c>
    </row>
    <row r="31">
      <c r="A31" s="4" t="n">
        <v>25</v>
      </c>
      <c r="B31" s="4">
        <f>IFERROR(INDEX(Features!$A:$A,MATCH($A31,Features!$T:$T,0)),"")</f>
        <v/>
      </c>
      <c r="C31" s="22">
        <f>IF($B31="","",COUNTIFS(Features!$A:$A,$B31,Features!$F:$F,"OK"))</f>
        <v/>
      </c>
      <c r="D31" s="23">
        <f>IF($B31="","",SUMIFS(Features!$J:$J,Features!$A:$A,$B31,Features!$F:$F,"OK"))</f>
        <v/>
      </c>
      <c r="E31" s="23">
        <f>IF($B31="","",SUMIFS(Features!$K:$K,Features!$A:$A,$B31,Features!$F:$F,"OK"))</f>
        <v/>
      </c>
      <c r="F31" s="23">
        <f>IF($B31="","",SUMIFS(Features!$L:$L,Features!$A:$A,$B31,Features!$F:$F,"OK"))</f>
        <v/>
      </c>
      <c r="G31" s="23">
        <f>IF($B31="","",E31+FactorColchon*(F31-E31))</f>
        <v/>
      </c>
      <c r="H31" s="23">
        <f>IF($B31="","",G31*HorasDia)</f>
        <v/>
      </c>
      <c r="I31" s="24">
        <f>IF($B31="","",H31*TarifaHora)</f>
        <v/>
      </c>
      <c r="J31" s="24">
        <f>IF($B31="","",SUMIFS(Features!$P:$P,Features!$A:$A,$B31,Features!$F:$F,"OK"))</f>
        <v/>
      </c>
      <c r="K31" s="24">
        <f>IF($B31="","",SUMIFS(Features!$Q:$Q,Features!$A:$A,$B31,Features!$F:$F,"OK"))</f>
        <v/>
      </c>
      <c r="L31" s="24">
        <f>IF($B31="","",I31+J31)</f>
        <v/>
      </c>
      <c r="M31" s="24">
        <f>IF($B31="","",I31+K31)</f>
        <v/>
      </c>
      <c r="N31" s="24">
        <f>IF($B31="","",M31*(1+Margen))</f>
        <v/>
      </c>
    </row>
    <row r="32">
      <c r="A32" s="4" t="n">
        <v>26</v>
      </c>
      <c r="B32" s="4">
        <f>IFERROR(INDEX(Features!$A:$A,MATCH($A32,Features!$T:$T,0)),"")</f>
        <v/>
      </c>
      <c r="C32" s="22">
        <f>IF($B32="","",COUNTIFS(Features!$A:$A,$B32,Features!$F:$F,"OK"))</f>
        <v/>
      </c>
      <c r="D32" s="23">
        <f>IF($B32="","",SUMIFS(Features!$J:$J,Features!$A:$A,$B32,Features!$F:$F,"OK"))</f>
        <v/>
      </c>
      <c r="E32" s="23">
        <f>IF($B32="","",SUMIFS(Features!$K:$K,Features!$A:$A,$B32,Features!$F:$F,"OK"))</f>
        <v/>
      </c>
      <c r="F32" s="23">
        <f>IF($B32="","",SUMIFS(Features!$L:$L,Features!$A:$A,$B32,Features!$F:$F,"OK"))</f>
        <v/>
      </c>
      <c r="G32" s="23">
        <f>IF($B32="","",E32+FactorColchon*(F32-E32))</f>
        <v/>
      </c>
      <c r="H32" s="23">
        <f>IF($B32="","",G32*HorasDia)</f>
        <v/>
      </c>
      <c r="I32" s="24">
        <f>IF($B32="","",H32*TarifaHora)</f>
        <v/>
      </c>
      <c r="J32" s="24">
        <f>IF($B32="","",SUMIFS(Features!$P:$P,Features!$A:$A,$B32,Features!$F:$F,"OK"))</f>
        <v/>
      </c>
      <c r="K32" s="24">
        <f>IF($B32="","",SUMIFS(Features!$Q:$Q,Features!$A:$A,$B32,Features!$F:$F,"OK"))</f>
        <v/>
      </c>
      <c r="L32" s="24">
        <f>IF($B32="","",I32+J32)</f>
        <v/>
      </c>
      <c r="M32" s="24">
        <f>IF($B32="","",I32+K32)</f>
        <v/>
      </c>
      <c r="N32" s="24">
        <f>IF($B32="","",M32*(1+Margen))</f>
        <v/>
      </c>
    </row>
    <row r="33">
      <c r="A33" s="4" t="n">
        <v>27</v>
      </c>
      <c r="B33" s="4">
        <f>IFERROR(INDEX(Features!$A:$A,MATCH($A33,Features!$T:$T,0)),"")</f>
        <v/>
      </c>
      <c r="C33" s="22">
        <f>IF($B33="","",COUNTIFS(Features!$A:$A,$B33,Features!$F:$F,"OK"))</f>
        <v/>
      </c>
      <c r="D33" s="23">
        <f>IF($B33="","",SUMIFS(Features!$J:$J,Features!$A:$A,$B33,Features!$F:$F,"OK"))</f>
        <v/>
      </c>
      <c r="E33" s="23">
        <f>IF($B33="","",SUMIFS(Features!$K:$K,Features!$A:$A,$B33,Features!$F:$F,"OK"))</f>
        <v/>
      </c>
      <c r="F33" s="23">
        <f>IF($B33="","",SUMIFS(Features!$L:$L,Features!$A:$A,$B33,Features!$F:$F,"OK"))</f>
        <v/>
      </c>
      <c r="G33" s="23">
        <f>IF($B33="","",E33+FactorColchon*(F33-E33))</f>
        <v/>
      </c>
      <c r="H33" s="23">
        <f>IF($B33="","",G33*HorasDia)</f>
        <v/>
      </c>
      <c r="I33" s="24">
        <f>IF($B33="","",H33*TarifaHora)</f>
        <v/>
      </c>
      <c r="J33" s="24">
        <f>IF($B33="","",SUMIFS(Features!$P:$P,Features!$A:$A,$B33,Features!$F:$F,"OK"))</f>
        <v/>
      </c>
      <c r="K33" s="24">
        <f>IF($B33="","",SUMIFS(Features!$Q:$Q,Features!$A:$A,$B33,Features!$F:$F,"OK"))</f>
        <v/>
      </c>
      <c r="L33" s="24">
        <f>IF($B33="","",I33+J33)</f>
        <v/>
      </c>
      <c r="M33" s="24">
        <f>IF($B33="","",I33+K33)</f>
        <v/>
      </c>
      <c r="N33" s="24">
        <f>IF($B33="","",M33*(1+Margen))</f>
        <v/>
      </c>
    </row>
    <row r="34">
      <c r="A34" s="4" t="n">
        <v>28</v>
      </c>
      <c r="B34" s="4">
        <f>IFERROR(INDEX(Features!$A:$A,MATCH($A34,Features!$T:$T,0)),"")</f>
        <v/>
      </c>
      <c r="C34" s="22">
        <f>IF($B34="","",COUNTIFS(Features!$A:$A,$B34,Features!$F:$F,"OK"))</f>
        <v/>
      </c>
      <c r="D34" s="23">
        <f>IF($B34="","",SUMIFS(Features!$J:$J,Features!$A:$A,$B34,Features!$F:$F,"OK"))</f>
        <v/>
      </c>
      <c r="E34" s="23">
        <f>IF($B34="","",SUMIFS(Features!$K:$K,Features!$A:$A,$B34,Features!$F:$F,"OK"))</f>
        <v/>
      </c>
      <c r="F34" s="23">
        <f>IF($B34="","",SUMIFS(Features!$L:$L,Features!$A:$A,$B34,Features!$F:$F,"OK"))</f>
        <v/>
      </c>
      <c r="G34" s="23">
        <f>IF($B34="","",E34+FactorColchon*(F34-E34))</f>
        <v/>
      </c>
      <c r="H34" s="23">
        <f>IF($B34="","",G34*HorasDia)</f>
        <v/>
      </c>
      <c r="I34" s="24">
        <f>IF($B34="","",H34*TarifaHora)</f>
        <v/>
      </c>
      <c r="J34" s="24">
        <f>IF($B34="","",SUMIFS(Features!$P:$P,Features!$A:$A,$B34,Features!$F:$F,"OK"))</f>
        <v/>
      </c>
      <c r="K34" s="24">
        <f>IF($B34="","",SUMIFS(Features!$Q:$Q,Features!$A:$A,$B34,Features!$F:$F,"OK"))</f>
        <v/>
      </c>
      <c r="L34" s="24">
        <f>IF($B34="","",I34+J34)</f>
        <v/>
      </c>
      <c r="M34" s="24">
        <f>IF($B34="","",I34+K34)</f>
        <v/>
      </c>
      <c r="N34" s="24">
        <f>IF($B34="","",M34*(1+Margen))</f>
        <v/>
      </c>
    </row>
    <row r="35">
      <c r="A35" s="4" t="n">
        <v>29</v>
      </c>
      <c r="B35" s="4">
        <f>IFERROR(INDEX(Features!$A:$A,MATCH($A35,Features!$T:$T,0)),"")</f>
        <v/>
      </c>
      <c r="C35" s="22">
        <f>IF($B35="","",COUNTIFS(Features!$A:$A,$B35,Features!$F:$F,"OK"))</f>
        <v/>
      </c>
      <c r="D35" s="23">
        <f>IF($B35="","",SUMIFS(Features!$J:$J,Features!$A:$A,$B35,Features!$F:$F,"OK"))</f>
        <v/>
      </c>
      <c r="E35" s="23">
        <f>IF($B35="","",SUMIFS(Features!$K:$K,Features!$A:$A,$B35,Features!$F:$F,"OK"))</f>
        <v/>
      </c>
      <c r="F35" s="23">
        <f>IF($B35="","",SUMIFS(Features!$L:$L,Features!$A:$A,$B35,Features!$F:$F,"OK"))</f>
        <v/>
      </c>
      <c r="G35" s="23">
        <f>IF($B35="","",E35+FactorColchon*(F35-E35))</f>
        <v/>
      </c>
      <c r="H35" s="23">
        <f>IF($B35="","",G35*HorasDia)</f>
        <v/>
      </c>
      <c r="I35" s="24">
        <f>IF($B35="","",H35*TarifaHora)</f>
        <v/>
      </c>
      <c r="J35" s="24">
        <f>IF($B35="","",SUMIFS(Features!$P:$P,Features!$A:$A,$B35,Features!$F:$F,"OK"))</f>
        <v/>
      </c>
      <c r="K35" s="24">
        <f>IF($B35="","",SUMIFS(Features!$Q:$Q,Features!$A:$A,$B35,Features!$F:$F,"OK"))</f>
        <v/>
      </c>
      <c r="L35" s="24">
        <f>IF($B35="","",I35+J35)</f>
        <v/>
      </c>
      <c r="M35" s="24">
        <f>IF($B35="","",I35+K35)</f>
        <v/>
      </c>
      <c r="N35" s="24">
        <f>IF($B35="","",M35*(1+Margen))</f>
        <v/>
      </c>
    </row>
    <row r="36">
      <c r="A36" s="4" t="n">
        <v>30</v>
      </c>
      <c r="B36" s="4">
        <f>IFERROR(INDEX(Features!$A:$A,MATCH($A36,Features!$T:$T,0)),"")</f>
        <v/>
      </c>
      <c r="C36" s="22">
        <f>IF($B36="","",COUNTIFS(Features!$A:$A,$B36,Features!$F:$F,"OK"))</f>
        <v/>
      </c>
      <c r="D36" s="23">
        <f>IF($B36="","",SUMIFS(Features!$J:$J,Features!$A:$A,$B36,Features!$F:$F,"OK"))</f>
        <v/>
      </c>
      <c r="E36" s="23">
        <f>IF($B36="","",SUMIFS(Features!$K:$K,Features!$A:$A,$B36,Features!$F:$F,"OK"))</f>
        <v/>
      </c>
      <c r="F36" s="23">
        <f>IF($B36="","",SUMIFS(Features!$L:$L,Features!$A:$A,$B36,Features!$F:$F,"OK"))</f>
        <v/>
      </c>
      <c r="G36" s="23">
        <f>IF($B36="","",E36+FactorColchon*(F36-E36))</f>
        <v/>
      </c>
      <c r="H36" s="23">
        <f>IF($B36="","",G36*HorasDia)</f>
        <v/>
      </c>
      <c r="I36" s="24">
        <f>IF($B36="","",H36*TarifaHora)</f>
        <v/>
      </c>
      <c r="J36" s="24">
        <f>IF($B36="","",SUMIFS(Features!$P:$P,Features!$A:$A,$B36,Features!$F:$F,"OK"))</f>
        <v/>
      </c>
      <c r="K36" s="24">
        <f>IF($B36="","",SUMIFS(Features!$Q:$Q,Features!$A:$A,$B36,Features!$F:$F,"OK"))</f>
        <v/>
      </c>
      <c r="L36" s="24">
        <f>IF($B36="","",I36+J36)</f>
        <v/>
      </c>
      <c r="M36" s="24">
        <f>IF($B36="","",I36+K36)</f>
        <v/>
      </c>
      <c r="N36" s="24">
        <f>IF($B36="","",M36*(1+Margen))</f>
        <v/>
      </c>
    </row>
    <row r="37">
      <c r="A37" s="4" t="n">
        <v>31</v>
      </c>
      <c r="B37" s="4">
        <f>IFERROR(INDEX(Features!$A:$A,MATCH($A37,Features!$T:$T,0)),"")</f>
        <v/>
      </c>
      <c r="C37" s="22">
        <f>IF($B37="","",COUNTIFS(Features!$A:$A,$B37,Features!$F:$F,"OK"))</f>
        <v/>
      </c>
      <c r="D37" s="23">
        <f>IF($B37="","",SUMIFS(Features!$J:$J,Features!$A:$A,$B37,Features!$F:$F,"OK"))</f>
        <v/>
      </c>
      <c r="E37" s="23">
        <f>IF($B37="","",SUMIFS(Features!$K:$K,Features!$A:$A,$B37,Features!$F:$F,"OK"))</f>
        <v/>
      </c>
      <c r="F37" s="23">
        <f>IF($B37="","",SUMIFS(Features!$L:$L,Features!$A:$A,$B37,Features!$F:$F,"OK"))</f>
        <v/>
      </c>
      <c r="G37" s="23">
        <f>IF($B37="","",E37+FactorColchon*(F37-E37))</f>
        <v/>
      </c>
      <c r="H37" s="23">
        <f>IF($B37="","",G37*HorasDia)</f>
        <v/>
      </c>
      <c r="I37" s="24">
        <f>IF($B37="","",H37*TarifaHora)</f>
        <v/>
      </c>
      <c r="J37" s="24">
        <f>IF($B37="","",SUMIFS(Features!$P:$P,Features!$A:$A,$B37,Features!$F:$F,"OK"))</f>
        <v/>
      </c>
      <c r="K37" s="24">
        <f>IF($B37="","",SUMIFS(Features!$Q:$Q,Features!$A:$A,$B37,Features!$F:$F,"OK"))</f>
        <v/>
      </c>
      <c r="L37" s="24">
        <f>IF($B37="","",I37+J37)</f>
        <v/>
      </c>
      <c r="M37" s="24">
        <f>IF($B37="","",I37+K37)</f>
        <v/>
      </c>
      <c r="N37" s="24">
        <f>IF($B37="","",M37*(1+Margen))</f>
        <v/>
      </c>
    </row>
    <row r="38">
      <c r="A38" s="4" t="n">
        <v>32</v>
      </c>
      <c r="B38" s="4">
        <f>IFERROR(INDEX(Features!$A:$A,MATCH($A38,Features!$T:$T,0)),"")</f>
        <v/>
      </c>
      <c r="C38" s="22">
        <f>IF($B38="","",COUNTIFS(Features!$A:$A,$B38,Features!$F:$F,"OK"))</f>
        <v/>
      </c>
      <c r="D38" s="23">
        <f>IF($B38="","",SUMIFS(Features!$J:$J,Features!$A:$A,$B38,Features!$F:$F,"OK"))</f>
        <v/>
      </c>
      <c r="E38" s="23">
        <f>IF($B38="","",SUMIFS(Features!$K:$K,Features!$A:$A,$B38,Features!$F:$F,"OK"))</f>
        <v/>
      </c>
      <c r="F38" s="23">
        <f>IF($B38="","",SUMIFS(Features!$L:$L,Features!$A:$A,$B38,Features!$F:$F,"OK"))</f>
        <v/>
      </c>
      <c r="G38" s="23">
        <f>IF($B38="","",E38+FactorColchon*(F38-E38))</f>
        <v/>
      </c>
      <c r="H38" s="23">
        <f>IF($B38="","",G38*HorasDia)</f>
        <v/>
      </c>
      <c r="I38" s="24">
        <f>IF($B38="","",H38*TarifaHora)</f>
        <v/>
      </c>
      <c r="J38" s="24">
        <f>IF($B38="","",SUMIFS(Features!$P:$P,Features!$A:$A,$B38,Features!$F:$F,"OK"))</f>
        <v/>
      </c>
      <c r="K38" s="24">
        <f>IF($B38="","",SUMIFS(Features!$Q:$Q,Features!$A:$A,$B38,Features!$F:$F,"OK"))</f>
        <v/>
      </c>
      <c r="L38" s="24">
        <f>IF($B38="","",I38+J38)</f>
        <v/>
      </c>
      <c r="M38" s="24">
        <f>IF($B38="","",I38+K38)</f>
        <v/>
      </c>
      <c r="N38" s="24">
        <f>IF($B38="","",M38*(1+Margen))</f>
        <v/>
      </c>
    </row>
    <row r="39">
      <c r="A39" s="4" t="n">
        <v>33</v>
      </c>
      <c r="B39" s="4">
        <f>IFERROR(INDEX(Features!$A:$A,MATCH($A39,Features!$T:$T,0)),"")</f>
        <v/>
      </c>
      <c r="C39" s="22">
        <f>IF($B39="","",COUNTIFS(Features!$A:$A,$B39,Features!$F:$F,"OK"))</f>
        <v/>
      </c>
      <c r="D39" s="23">
        <f>IF($B39="","",SUMIFS(Features!$J:$J,Features!$A:$A,$B39,Features!$F:$F,"OK"))</f>
        <v/>
      </c>
      <c r="E39" s="23">
        <f>IF($B39="","",SUMIFS(Features!$K:$K,Features!$A:$A,$B39,Features!$F:$F,"OK"))</f>
        <v/>
      </c>
      <c r="F39" s="23">
        <f>IF($B39="","",SUMIFS(Features!$L:$L,Features!$A:$A,$B39,Features!$F:$F,"OK"))</f>
        <v/>
      </c>
      <c r="G39" s="23">
        <f>IF($B39="","",E39+FactorColchon*(F39-E39))</f>
        <v/>
      </c>
      <c r="H39" s="23">
        <f>IF($B39="","",G39*HorasDia)</f>
        <v/>
      </c>
      <c r="I39" s="24">
        <f>IF($B39="","",H39*TarifaHora)</f>
        <v/>
      </c>
      <c r="J39" s="24">
        <f>IF($B39="","",SUMIFS(Features!$P:$P,Features!$A:$A,$B39,Features!$F:$F,"OK"))</f>
        <v/>
      </c>
      <c r="K39" s="24">
        <f>IF($B39="","",SUMIFS(Features!$Q:$Q,Features!$A:$A,$B39,Features!$F:$F,"OK"))</f>
        <v/>
      </c>
      <c r="L39" s="24">
        <f>IF($B39="","",I39+J39)</f>
        <v/>
      </c>
      <c r="M39" s="24">
        <f>IF($B39="","",I39+K39)</f>
        <v/>
      </c>
      <c r="N39" s="24">
        <f>IF($B39="","",M39*(1+Margen))</f>
        <v/>
      </c>
    </row>
    <row r="40">
      <c r="A40" s="4" t="n">
        <v>34</v>
      </c>
      <c r="B40" s="4">
        <f>IFERROR(INDEX(Features!$A:$A,MATCH($A40,Features!$T:$T,0)),"")</f>
        <v/>
      </c>
      <c r="C40" s="22">
        <f>IF($B40="","",COUNTIFS(Features!$A:$A,$B40,Features!$F:$F,"OK"))</f>
        <v/>
      </c>
      <c r="D40" s="23">
        <f>IF($B40="","",SUMIFS(Features!$J:$J,Features!$A:$A,$B40,Features!$F:$F,"OK"))</f>
        <v/>
      </c>
      <c r="E40" s="23">
        <f>IF($B40="","",SUMIFS(Features!$K:$K,Features!$A:$A,$B40,Features!$F:$F,"OK"))</f>
        <v/>
      </c>
      <c r="F40" s="23">
        <f>IF($B40="","",SUMIFS(Features!$L:$L,Features!$A:$A,$B40,Features!$F:$F,"OK"))</f>
        <v/>
      </c>
      <c r="G40" s="23">
        <f>IF($B40="","",E40+FactorColchon*(F40-E40))</f>
        <v/>
      </c>
      <c r="H40" s="23">
        <f>IF($B40="","",G40*HorasDia)</f>
        <v/>
      </c>
      <c r="I40" s="24">
        <f>IF($B40="","",H40*TarifaHora)</f>
        <v/>
      </c>
      <c r="J40" s="24">
        <f>IF($B40="","",SUMIFS(Features!$P:$P,Features!$A:$A,$B40,Features!$F:$F,"OK"))</f>
        <v/>
      </c>
      <c r="K40" s="24">
        <f>IF($B40="","",SUMIFS(Features!$Q:$Q,Features!$A:$A,$B40,Features!$F:$F,"OK"))</f>
        <v/>
      </c>
      <c r="L40" s="24">
        <f>IF($B40="","",I40+J40)</f>
        <v/>
      </c>
      <c r="M40" s="24">
        <f>IF($B40="","",I40+K40)</f>
        <v/>
      </c>
      <c r="N40" s="24">
        <f>IF($B40="","",M40*(1+Margen))</f>
        <v/>
      </c>
    </row>
    <row r="41">
      <c r="A41" s="4" t="n">
        <v>35</v>
      </c>
      <c r="B41" s="4">
        <f>IFERROR(INDEX(Features!$A:$A,MATCH($A41,Features!$T:$T,0)),"")</f>
        <v/>
      </c>
      <c r="C41" s="22">
        <f>IF($B41="","",COUNTIFS(Features!$A:$A,$B41,Features!$F:$F,"OK"))</f>
        <v/>
      </c>
      <c r="D41" s="23">
        <f>IF($B41="","",SUMIFS(Features!$J:$J,Features!$A:$A,$B41,Features!$F:$F,"OK"))</f>
        <v/>
      </c>
      <c r="E41" s="23">
        <f>IF($B41="","",SUMIFS(Features!$K:$K,Features!$A:$A,$B41,Features!$F:$F,"OK"))</f>
        <v/>
      </c>
      <c r="F41" s="23">
        <f>IF($B41="","",SUMIFS(Features!$L:$L,Features!$A:$A,$B41,Features!$F:$F,"OK"))</f>
        <v/>
      </c>
      <c r="G41" s="23">
        <f>IF($B41="","",E41+FactorColchon*(F41-E41))</f>
        <v/>
      </c>
      <c r="H41" s="23">
        <f>IF($B41="","",G41*HorasDia)</f>
        <v/>
      </c>
      <c r="I41" s="24">
        <f>IF($B41="","",H41*TarifaHora)</f>
        <v/>
      </c>
      <c r="J41" s="24">
        <f>IF($B41="","",SUMIFS(Features!$P:$P,Features!$A:$A,$B41,Features!$F:$F,"OK"))</f>
        <v/>
      </c>
      <c r="K41" s="24">
        <f>IF($B41="","",SUMIFS(Features!$Q:$Q,Features!$A:$A,$B41,Features!$F:$F,"OK"))</f>
        <v/>
      </c>
      <c r="L41" s="24">
        <f>IF($B41="","",I41+J41)</f>
        <v/>
      </c>
      <c r="M41" s="24">
        <f>IF($B41="","",I41+K41)</f>
        <v/>
      </c>
      <c r="N41" s="24">
        <f>IF($B41="","",M41*(1+Margen))</f>
        <v/>
      </c>
    </row>
    <row r="42">
      <c r="A42" s="4" t="n">
        <v>36</v>
      </c>
      <c r="B42" s="4">
        <f>IFERROR(INDEX(Features!$A:$A,MATCH($A42,Features!$T:$T,0)),"")</f>
        <v/>
      </c>
      <c r="C42" s="22">
        <f>IF($B42="","",COUNTIFS(Features!$A:$A,$B42,Features!$F:$F,"OK"))</f>
        <v/>
      </c>
      <c r="D42" s="23">
        <f>IF($B42="","",SUMIFS(Features!$J:$J,Features!$A:$A,$B42,Features!$F:$F,"OK"))</f>
        <v/>
      </c>
      <c r="E42" s="23">
        <f>IF($B42="","",SUMIFS(Features!$K:$K,Features!$A:$A,$B42,Features!$F:$F,"OK"))</f>
        <v/>
      </c>
      <c r="F42" s="23">
        <f>IF($B42="","",SUMIFS(Features!$L:$L,Features!$A:$A,$B42,Features!$F:$F,"OK"))</f>
        <v/>
      </c>
      <c r="G42" s="23">
        <f>IF($B42="","",E42+FactorColchon*(F42-E42))</f>
        <v/>
      </c>
      <c r="H42" s="23">
        <f>IF($B42="","",G42*HorasDia)</f>
        <v/>
      </c>
      <c r="I42" s="24">
        <f>IF($B42="","",H42*TarifaHora)</f>
        <v/>
      </c>
      <c r="J42" s="24">
        <f>IF($B42="","",SUMIFS(Features!$P:$P,Features!$A:$A,$B42,Features!$F:$F,"OK"))</f>
        <v/>
      </c>
      <c r="K42" s="24">
        <f>IF($B42="","",SUMIFS(Features!$Q:$Q,Features!$A:$A,$B42,Features!$F:$F,"OK"))</f>
        <v/>
      </c>
      <c r="L42" s="24">
        <f>IF($B42="","",I42+J42)</f>
        <v/>
      </c>
      <c r="M42" s="24">
        <f>IF($B42="","",I42+K42)</f>
        <v/>
      </c>
      <c r="N42" s="24">
        <f>IF($B42="","",M42*(1+Margen))</f>
        <v/>
      </c>
    </row>
    <row r="43">
      <c r="A43" s="4" t="n">
        <v>37</v>
      </c>
      <c r="B43" s="4">
        <f>IFERROR(INDEX(Features!$A:$A,MATCH($A43,Features!$T:$T,0)),"")</f>
        <v/>
      </c>
      <c r="C43" s="22">
        <f>IF($B43="","",COUNTIFS(Features!$A:$A,$B43,Features!$F:$F,"OK"))</f>
        <v/>
      </c>
      <c r="D43" s="23">
        <f>IF($B43="","",SUMIFS(Features!$J:$J,Features!$A:$A,$B43,Features!$F:$F,"OK"))</f>
        <v/>
      </c>
      <c r="E43" s="23">
        <f>IF($B43="","",SUMIFS(Features!$K:$K,Features!$A:$A,$B43,Features!$F:$F,"OK"))</f>
        <v/>
      </c>
      <c r="F43" s="23">
        <f>IF($B43="","",SUMIFS(Features!$L:$L,Features!$A:$A,$B43,Features!$F:$F,"OK"))</f>
        <v/>
      </c>
      <c r="G43" s="23">
        <f>IF($B43="","",E43+FactorColchon*(F43-E43))</f>
        <v/>
      </c>
      <c r="H43" s="23">
        <f>IF($B43="","",G43*HorasDia)</f>
        <v/>
      </c>
      <c r="I43" s="24">
        <f>IF($B43="","",H43*TarifaHora)</f>
        <v/>
      </c>
      <c r="J43" s="24">
        <f>IF($B43="","",SUMIFS(Features!$P:$P,Features!$A:$A,$B43,Features!$F:$F,"OK"))</f>
        <v/>
      </c>
      <c r="K43" s="24">
        <f>IF($B43="","",SUMIFS(Features!$Q:$Q,Features!$A:$A,$B43,Features!$F:$F,"OK"))</f>
        <v/>
      </c>
      <c r="L43" s="24">
        <f>IF($B43="","",I43+J43)</f>
        <v/>
      </c>
      <c r="M43" s="24">
        <f>IF($B43="","",I43+K43)</f>
        <v/>
      </c>
      <c r="N43" s="24">
        <f>IF($B43="","",M43*(1+Margen))</f>
        <v/>
      </c>
    </row>
    <row r="44">
      <c r="A44" s="4" t="n">
        <v>38</v>
      </c>
      <c r="B44" s="4">
        <f>IFERROR(INDEX(Features!$A:$A,MATCH($A44,Features!$T:$T,0)),"")</f>
        <v/>
      </c>
      <c r="C44" s="22">
        <f>IF($B44="","",COUNTIFS(Features!$A:$A,$B44,Features!$F:$F,"OK"))</f>
        <v/>
      </c>
      <c r="D44" s="23">
        <f>IF($B44="","",SUMIFS(Features!$J:$J,Features!$A:$A,$B44,Features!$F:$F,"OK"))</f>
        <v/>
      </c>
      <c r="E44" s="23">
        <f>IF($B44="","",SUMIFS(Features!$K:$K,Features!$A:$A,$B44,Features!$F:$F,"OK"))</f>
        <v/>
      </c>
      <c r="F44" s="23">
        <f>IF($B44="","",SUMIFS(Features!$L:$L,Features!$A:$A,$B44,Features!$F:$F,"OK"))</f>
        <v/>
      </c>
      <c r="G44" s="23">
        <f>IF($B44="","",E44+FactorColchon*(F44-E44))</f>
        <v/>
      </c>
      <c r="H44" s="23">
        <f>IF($B44="","",G44*HorasDia)</f>
        <v/>
      </c>
      <c r="I44" s="24">
        <f>IF($B44="","",H44*TarifaHora)</f>
        <v/>
      </c>
      <c r="J44" s="24">
        <f>IF($B44="","",SUMIFS(Features!$P:$P,Features!$A:$A,$B44,Features!$F:$F,"OK"))</f>
        <v/>
      </c>
      <c r="K44" s="24">
        <f>IF($B44="","",SUMIFS(Features!$Q:$Q,Features!$A:$A,$B44,Features!$F:$F,"OK"))</f>
        <v/>
      </c>
      <c r="L44" s="24">
        <f>IF($B44="","",I44+J44)</f>
        <v/>
      </c>
      <c r="M44" s="24">
        <f>IF($B44="","",I44+K44)</f>
        <v/>
      </c>
      <c r="N44" s="24">
        <f>IF($B44="","",M44*(1+Margen))</f>
        <v/>
      </c>
    </row>
    <row r="45">
      <c r="A45" s="4" t="n">
        <v>39</v>
      </c>
      <c r="B45" s="4">
        <f>IFERROR(INDEX(Features!$A:$A,MATCH($A45,Features!$T:$T,0)),"")</f>
        <v/>
      </c>
      <c r="C45" s="22">
        <f>IF($B45="","",COUNTIFS(Features!$A:$A,$B45,Features!$F:$F,"OK"))</f>
        <v/>
      </c>
      <c r="D45" s="23">
        <f>IF($B45="","",SUMIFS(Features!$J:$J,Features!$A:$A,$B45,Features!$F:$F,"OK"))</f>
        <v/>
      </c>
      <c r="E45" s="23">
        <f>IF($B45="","",SUMIFS(Features!$K:$K,Features!$A:$A,$B45,Features!$F:$F,"OK"))</f>
        <v/>
      </c>
      <c r="F45" s="23">
        <f>IF($B45="","",SUMIFS(Features!$L:$L,Features!$A:$A,$B45,Features!$F:$F,"OK"))</f>
        <v/>
      </c>
      <c r="G45" s="23">
        <f>IF($B45="","",E45+FactorColchon*(F45-E45))</f>
        <v/>
      </c>
      <c r="H45" s="23">
        <f>IF($B45="","",G45*HorasDia)</f>
        <v/>
      </c>
      <c r="I45" s="24">
        <f>IF($B45="","",H45*TarifaHora)</f>
        <v/>
      </c>
      <c r="J45" s="24">
        <f>IF($B45="","",SUMIFS(Features!$P:$P,Features!$A:$A,$B45,Features!$F:$F,"OK"))</f>
        <v/>
      </c>
      <c r="K45" s="24">
        <f>IF($B45="","",SUMIFS(Features!$Q:$Q,Features!$A:$A,$B45,Features!$F:$F,"OK"))</f>
        <v/>
      </c>
      <c r="L45" s="24">
        <f>IF($B45="","",I45+J45)</f>
        <v/>
      </c>
      <c r="M45" s="24">
        <f>IF($B45="","",I45+K45)</f>
        <v/>
      </c>
      <c r="N45" s="24">
        <f>IF($B45="","",M45*(1+Margen))</f>
        <v/>
      </c>
    </row>
    <row r="46">
      <c r="A46" s="4" t="n">
        <v>40</v>
      </c>
      <c r="B46" s="4">
        <f>IFERROR(INDEX(Features!$A:$A,MATCH($A46,Features!$T:$T,0)),"")</f>
        <v/>
      </c>
      <c r="C46" s="22">
        <f>IF($B46="","",COUNTIFS(Features!$A:$A,$B46,Features!$F:$F,"OK"))</f>
        <v/>
      </c>
      <c r="D46" s="23">
        <f>IF($B46="","",SUMIFS(Features!$J:$J,Features!$A:$A,$B46,Features!$F:$F,"OK"))</f>
        <v/>
      </c>
      <c r="E46" s="23">
        <f>IF($B46="","",SUMIFS(Features!$K:$K,Features!$A:$A,$B46,Features!$F:$F,"OK"))</f>
        <v/>
      </c>
      <c r="F46" s="23">
        <f>IF($B46="","",SUMIFS(Features!$L:$L,Features!$A:$A,$B46,Features!$F:$F,"OK"))</f>
        <v/>
      </c>
      <c r="G46" s="23">
        <f>IF($B46="","",E46+FactorColchon*(F46-E46))</f>
        <v/>
      </c>
      <c r="H46" s="23">
        <f>IF($B46="","",G46*HorasDia)</f>
        <v/>
      </c>
      <c r="I46" s="24">
        <f>IF($B46="","",H46*TarifaHora)</f>
        <v/>
      </c>
      <c r="J46" s="24">
        <f>IF($B46="","",SUMIFS(Features!$P:$P,Features!$A:$A,$B46,Features!$F:$F,"OK"))</f>
        <v/>
      </c>
      <c r="K46" s="24">
        <f>IF($B46="","",SUMIFS(Features!$Q:$Q,Features!$A:$A,$B46,Features!$F:$F,"OK"))</f>
        <v/>
      </c>
      <c r="L46" s="24">
        <f>IF($B46="","",I46+J46)</f>
        <v/>
      </c>
      <c r="M46" s="24">
        <f>IF($B46="","",I46+K46)</f>
        <v/>
      </c>
      <c r="N46" s="24">
        <f>IF($B46="","",M46*(1+Margen))</f>
        <v/>
      </c>
    </row>
    <row r="47">
      <c r="A47" s="4" t="n">
        <v>41</v>
      </c>
      <c r="B47" s="4">
        <f>IFERROR(INDEX(Features!$A:$A,MATCH($A47,Features!$T:$T,0)),"")</f>
        <v/>
      </c>
      <c r="C47" s="22">
        <f>IF($B47="","",COUNTIFS(Features!$A:$A,$B47,Features!$F:$F,"OK"))</f>
        <v/>
      </c>
      <c r="D47" s="23">
        <f>IF($B47="","",SUMIFS(Features!$J:$J,Features!$A:$A,$B47,Features!$F:$F,"OK"))</f>
        <v/>
      </c>
      <c r="E47" s="23">
        <f>IF($B47="","",SUMIFS(Features!$K:$K,Features!$A:$A,$B47,Features!$F:$F,"OK"))</f>
        <v/>
      </c>
      <c r="F47" s="23">
        <f>IF($B47="","",SUMIFS(Features!$L:$L,Features!$A:$A,$B47,Features!$F:$F,"OK"))</f>
        <v/>
      </c>
      <c r="G47" s="23">
        <f>IF($B47="","",E47+FactorColchon*(F47-E47))</f>
        <v/>
      </c>
      <c r="H47" s="23">
        <f>IF($B47="","",G47*HorasDia)</f>
        <v/>
      </c>
      <c r="I47" s="24">
        <f>IF($B47="","",H47*TarifaHora)</f>
        <v/>
      </c>
      <c r="J47" s="24">
        <f>IF($B47="","",SUMIFS(Features!$P:$P,Features!$A:$A,$B47,Features!$F:$F,"OK"))</f>
        <v/>
      </c>
      <c r="K47" s="24">
        <f>IF($B47="","",SUMIFS(Features!$Q:$Q,Features!$A:$A,$B47,Features!$F:$F,"OK"))</f>
        <v/>
      </c>
      <c r="L47" s="24">
        <f>IF($B47="","",I47+J47)</f>
        <v/>
      </c>
      <c r="M47" s="24">
        <f>IF($B47="","",I47+K47)</f>
        <v/>
      </c>
      <c r="N47" s="24">
        <f>IF($B47="","",M47*(1+Margen))</f>
        <v/>
      </c>
    </row>
    <row r="48">
      <c r="A48" s="4" t="n">
        <v>42</v>
      </c>
      <c r="B48" s="4">
        <f>IFERROR(INDEX(Features!$A:$A,MATCH($A48,Features!$T:$T,0)),"")</f>
        <v/>
      </c>
      <c r="C48" s="22">
        <f>IF($B48="","",COUNTIFS(Features!$A:$A,$B48,Features!$F:$F,"OK"))</f>
        <v/>
      </c>
      <c r="D48" s="23">
        <f>IF($B48="","",SUMIFS(Features!$J:$J,Features!$A:$A,$B48,Features!$F:$F,"OK"))</f>
        <v/>
      </c>
      <c r="E48" s="23">
        <f>IF($B48="","",SUMIFS(Features!$K:$K,Features!$A:$A,$B48,Features!$F:$F,"OK"))</f>
        <v/>
      </c>
      <c r="F48" s="23">
        <f>IF($B48="","",SUMIFS(Features!$L:$L,Features!$A:$A,$B48,Features!$F:$F,"OK"))</f>
        <v/>
      </c>
      <c r="G48" s="23">
        <f>IF($B48="","",E48+FactorColchon*(F48-E48))</f>
        <v/>
      </c>
      <c r="H48" s="23">
        <f>IF($B48="","",G48*HorasDia)</f>
        <v/>
      </c>
      <c r="I48" s="24">
        <f>IF($B48="","",H48*TarifaHora)</f>
        <v/>
      </c>
      <c r="J48" s="24">
        <f>IF($B48="","",SUMIFS(Features!$P:$P,Features!$A:$A,$B48,Features!$F:$F,"OK"))</f>
        <v/>
      </c>
      <c r="K48" s="24">
        <f>IF($B48="","",SUMIFS(Features!$Q:$Q,Features!$A:$A,$B48,Features!$F:$F,"OK"))</f>
        <v/>
      </c>
      <c r="L48" s="24">
        <f>IF($B48="","",I48+J48)</f>
        <v/>
      </c>
      <c r="M48" s="24">
        <f>IF($B48="","",I48+K48)</f>
        <v/>
      </c>
      <c r="N48" s="24">
        <f>IF($B48="","",M48*(1+Margen))</f>
        <v/>
      </c>
    </row>
    <row r="49">
      <c r="A49" s="4" t="n">
        <v>43</v>
      </c>
      <c r="B49" s="4">
        <f>IFERROR(INDEX(Features!$A:$A,MATCH($A49,Features!$T:$T,0)),"")</f>
        <v/>
      </c>
      <c r="C49" s="22">
        <f>IF($B49="","",COUNTIFS(Features!$A:$A,$B49,Features!$F:$F,"OK"))</f>
        <v/>
      </c>
      <c r="D49" s="23">
        <f>IF($B49="","",SUMIFS(Features!$J:$J,Features!$A:$A,$B49,Features!$F:$F,"OK"))</f>
        <v/>
      </c>
      <c r="E49" s="23">
        <f>IF($B49="","",SUMIFS(Features!$K:$K,Features!$A:$A,$B49,Features!$F:$F,"OK"))</f>
        <v/>
      </c>
      <c r="F49" s="23">
        <f>IF($B49="","",SUMIFS(Features!$L:$L,Features!$A:$A,$B49,Features!$F:$F,"OK"))</f>
        <v/>
      </c>
      <c r="G49" s="23">
        <f>IF($B49="","",E49+FactorColchon*(F49-E49))</f>
        <v/>
      </c>
      <c r="H49" s="23">
        <f>IF($B49="","",G49*HorasDia)</f>
        <v/>
      </c>
      <c r="I49" s="24">
        <f>IF($B49="","",H49*TarifaHora)</f>
        <v/>
      </c>
      <c r="J49" s="24">
        <f>IF($B49="","",SUMIFS(Features!$P:$P,Features!$A:$A,$B49,Features!$F:$F,"OK"))</f>
        <v/>
      </c>
      <c r="K49" s="24">
        <f>IF($B49="","",SUMIFS(Features!$Q:$Q,Features!$A:$A,$B49,Features!$F:$F,"OK"))</f>
        <v/>
      </c>
      <c r="L49" s="24">
        <f>IF($B49="","",I49+J49)</f>
        <v/>
      </c>
      <c r="M49" s="24">
        <f>IF($B49="","",I49+K49)</f>
        <v/>
      </c>
      <c r="N49" s="24">
        <f>IF($B49="","",M49*(1+Margen))</f>
        <v/>
      </c>
    </row>
    <row r="50">
      <c r="A50" s="4" t="n">
        <v>44</v>
      </c>
      <c r="B50" s="4">
        <f>IFERROR(INDEX(Features!$A:$A,MATCH($A50,Features!$T:$T,0)),"")</f>
        <v/>
      </c>
      <c r="C50" s="22">
        <f>IF($B50="","",COUNTIFS(Features!$A:$A,$B50,Features!$F:$F,"OK"))</f>
        <v/>
      </c>
      <c r="D50" s="23">
        <f>IF($B50="","",SUMIFS(Features!$J:$J,Features!$A:$A,$B50,Features!$F:$F,"OK"))</f>
        <v/>
      </c>
      <c r="E50" s="23">
        <f>IF($B50="","",SUMIFS(Features!$K:$K,Features!$A:$A,$B50,Features!$F:$F,"OK"))</f>
        <v/>
      </c>
      <c r="F50" s="23">
        <f>IF($B50="","",SUMIFS(Features!$L:$L,Features!$A:$A,$B50,Features!$F:$F,"OK"))</f>
        <v/>
      </c>
      <c r="G50" s="23">
        <f>IF($B50="","",E50+FactorColchon*(F50-E50))</f>
        <v/>
      </c>
      <c r="H50" s="23">
        <f>IF($B50="","",G50*HorasDia)</f>
        <v/>
      </c>
      <c r="I50" s="24">
        <f>IF($B50="","",H50*TarifaHora)</f>
        <v/>
      </c>
      <c r="J50" s="24">
        <f>IF($B50="","",SUMIFS(Features!$P:$P,Features!$A:$A,$B50,Features!$F:$F,"OK"))</f>
        <v/>
      </c>
      <c r="K50" s="24">
        <f>IF($B50="","",SUMIFS(Features!$Q:$Q,Features!$A:$A,$B50,Features!$F:$F,"OK"))</f>
        <v/>
      </c>
      <c r="L50" s="24">
        <f>IF($B50="","",I50+J50)</f>
        <v/>
      </c>
      <c r="M50" s="24">
        <f>IF($B50="","",I50+K50)</f>
        <v/>
      </c>
      <c r="N50" s="24">
        <f>IF($B50="","",M50*(1+Margen))</f>
        <v/>
      </c>
    </row>
    <row r="51">
      <c r="A51" s="4" t="n">
        <v>45</v>
      </c>
      <c r="B51" s="4">
        <f>IFERROR(INDEX(Features!$A:$A,MATCH($A51,Features!$T:$T,0)),"")</f>
        <v/>
      </c>
      <c r="C51" s="22">
        <f>IF($B51="","",COUNTIFS(Features!$A:$A,$B51,Features!$F:$F,"OK"))</f>
        <v/>
      </c>
      <c r="D51" s="23">
        <f>IF($B51="","",SUMIFS(Features!$J:$J,Features!$A:$A,$B51,Features!$F:$F,"OK"))</f>
        <v/>
      </c>
      <c r="E51" s="23">
        <f>IF($B51="","",SUMIFS(Features!$K:$K,Features!$A:$A,$B51,Features!$F:$F,"OK"))</f>
        <v/>
      </c>
      <c r="F51" s="23">
        <f>IF($B51="","",SUMIFS(Features!$L:$L,Features!$A:$A,$B51,Features!$F:$F,"OK"))</f>
        <v/>
      </c>
      <c r="G51" s="23">
        <f>IF($B51="","",E51+FactorColchon*(F51-E51))</f>
        <v/>
      </c>
      <c r="H51" s="23">
        <f>IF($B51="","",G51*HorasDia)</f>
        <v/>
      </c>
      <c r="I51" s="24">
        <f>IF($B51="","",H51*TarifaHora)</f>
        <v/>
      </c>
      <c r="J51" s="24">
        <f>IF($B51="","",SUMIFS(Features!$P:$P,Features!$A:$A,$B51,Features!$F:$F,"OK"))</f>
        <v/>
      </c>
      <c r="K51" s="24">
        <f>IF($B51="","",SUMIFS(Features!$Q:$Q,Features!$A:$A,$B51,Features!$F:$F,"OK"))</f>
        <v/>
      </c>
      <c r="L51" s="24">
        <f>IF($B51="","",I51+J51)</f>
        <v/>
      </c>
      <c r="M51" s="24">
        <f>IF($B51="","",I51+K51)</f>
        <v/>
      </c>
      <c r="N51" s="24">
        <f>IF($B51="","",M51*(1+Margen))</f>
        <v/>
      </c>
    </row>
    <row r="52">
      <c r="A52" s="4" t="n">
        <v>46</v>
      </c>
      <c r="B52" s="4">
        <f>IFERROR(INDEX(Features!$A:$A,MATCH($A52,Features!$T:$T,0)),"")</f>
        <v/>
      </c>
      <c r="C52" s="22">
        <f>IF($B52="","",COUNTIFS(Features!$A:$A,$B52,Features!$F:$F,"OK"))</f>
        <v/>
      </c>
      <c r="D52" s="23">
        <f>IF($B52="","",SUMIFS(Features!$J:$J,Features!$A:$A,$B52,Features!$F:$F,"OK"))</f>
        <v/>
      </c>
      <c r="E52" s="23">
        <f>IF($B52="","",SUMIFS(Features!$K:$K,Features!$A:$A,$B52,Features!$F:$F,"OK"))</f>
        <v/>
      </c>
      <c r="F52" s="23">
        <f>IF($B52="","",SUMIFS(Features!$L:$L,Features!$A:$A,$B52,Features!$F:$F,"OK"))</f>
        <v/>
      </c>
      <c r="G52" s="23">
        <f>IF($B52="","",E52+FactorColchon*(F52-E52))</f>
        <v/>
      </c>
      <c r="H52" s="23">
        <f>IF($B52="","",G52*HorasDia)</f>
        <v/>
      </c>
      <c r="I52" s="24">
        <f>IF($B52="","",H52*TarifaHora)</f>
        <v/>
      </c>
      <c r="J52" s="24">
        <f>IF($B52="","",SUMIFS(Features!$P:$P,Features!$A:$A,$B52,Features!$F:$F,"OK"))</f>
        <v/>
      </c>
      <c r="K52" s="24">
        <f>IF($B52="","",SUMIFS(Features!$Q:$Q,Features!$A:$A,$B52,Features!$F:$F,"OK"))</f>
        <v/>
      </c>
      <c r="L52" s="24">
        <f>IF($B52="","",I52+J52)</f>
        <v/>
      </c>
      <c r="M52" s="24">
        <f>IF($B52="","",I52+K52)</f>
        <v/>
      </c>
      <c r="N52" s="24">
        <f>IF($B52="","",M52*(1+Margen))</f>
        <v/>
      </c>
    </row>
    <row r="53">
      <c r="A53" s="4" t="n">
        <v>47</v>
      </c>
      <c r="B53" s="4">
        <f>IFERROR(INDEX(Features!$A:$A,MATCH($A53,Features!$T:$T,0)),"")</f>
        <v/>
      </c>
      <c r="C53" s="22">
        <f>IF($B53="","",COUNTIFS(Features!$A:$A,$B53,Features!$F:$F,"OK"))</f>
        <v/>
      </c>
      <c r="D53" s="23">
        <f>IF($B53="","",SUMIFS(Features!$J:$J,Features!$A:$A,$B53,Features!$F:$F,"OK"))</f>
        <v/>
      </c>
      <c r="E53" s="23">
        <f>IF($B53="","",SUMIFS(Features!$K:$K,Features!$A:$A,$B53,Features!$F:$F,"OK"))</f>
        <v/>
      </c>
      <c r="F53" s="23">
        <f>IF($B53="","",SUMIFS(Features!$L:$L,Features!$A:$A,$B53,Features!$F:$F,"OK"))</f>
        <v/>
      </c>
      <c r="G53" s="23">
        <f>IF($B53="","",E53+FactorColchon*(F53-E53))</f>
        <v/>
      </c>
      <c r="H53" s="23">
        <f>IF($B53="","",G53*HorasDia)</f>
        <v/>
      </c>
      <c r="I53" s="24">
        <f>IF($B53="","",H53*TarifaHora)</f>
        <v/>
      </c>
      <c r="J53" s="24">
        <f>IF($B53="","",SUMIFS(Features!$P:$P,Features!$A:$A,$B53,Features!$F:$F,"OK"))</f>
        <v/>
      </c>
      <c r="K53" s="24">
        <f>IF($B53="","",SUMIFS(Features!$Q:$Q,Features!$A:$A,$B53,Features!$F:$F,"OK"))</f>
        <v/>
      </c>
      <c r="L53" s="24">
        <f>IF($B53="","",I53+J53)</f>
        <v/>
      </c>
      <c r="M53" s="24">
        <f>IF($B53="","",I53+K53)</f>
        <v/>
      </c>
      <c r="N53" s="24">
        <f>IF($B53="","",M53*(1+Margen))</f>
        <v/>
      </c>
    </row>
    <row r="54">
      <c r="A54" s="4" t="n">
        <v>48</v>
      </c>
      <c r="B54" s="4">
        <f>IFERROR(INDEX(Features!$A:$A,MATCH($A54,Features!$T:$T,0)),"")</f>
        <v/>
      </c>
      <c r="C54" s="22">
        <f>IF($B54="","",COUNTIFS(Features!$A:$A,$B54,Features!$F:$F,"OK"))</f>
        <v/>
      </c>
      <c r="D54" s="23">
        <f>IF($B54="","",SUMIFS(Features!$J:$J,Features!$A:$A,$B54,Features!$F:$F,"OK"))</f>
        <v/>
      </c>
      <c r="E54" s="23">
        <f>IF($B54="","",SUMIFS(Features!$K:$K,Features!$A:$A,$B54,Features!$F:$F,"OK"))</f>
        <v/>
      </c>
      <c r="F54" s="23">
        <f>IF($B54="","",SUMIFS(Features!$L:$L,Features!$A:$A,$B54,Features!$F:$F,"OK"))</f>
        <v/>
      </c>
      <c r="G54" s="23">
        <f>IF($B54="","",E54+FactorColchon*(F54-E54))</f>
        <v/>
      </c>
      <c r="H54" s="23">
        <f>IF($B54="","",G54*HorasDia)</f>
        <v/>
      </c>
      <c r="I54" s="24">
        <f>IF($B54="","",H54*TarifaHora)</f>
        <v/>
      </c>
      <c r="J54" s="24">
        <f>IF($B54="","",SUMIFS(Features!$P:$P,Features!$A:$A,$B54,Features!$F:$F,"OK"))</f>
        <v/>
      </c>
      <c r="K54" s="24">
        <f>IF($B54="","",SUMIFS(Features!$Q:$Q,Features!$A:$A,$B54,Features!$F:$F,"OK"))</f>
        <v/>
      </c>
      <c r="L54" s="24">
        <f>IF($B54="","",I54+J54)</f>
        <v/>
      </c>
      <c r="M54" s="24">
        <f>IF($B54="","",I54+K54)</f>
        <v/>
      </c>
      <c r="N54" s="24">
        <f>IF($B54="","",M54*(1+Margen))</f>
        <v/>
      </c>
    </row>
    <row r="55">
      <c r="A55" s="4" t="n">
        <v>49</v>
      </c>
      <c r="B55" s="4">
        <f>IFERROR(INDEX(Features!$A:$A,MATCH($A55,Features!$T:$T,0)),"")</f>
        <v/>
      </c>
      <c r="C55" s="22">
        <f>IF($B55="","",COUNTIFS(Features!$A:$A,$B55,Features!$F:$F,"OK"))</f>
        <v/>
      </c>
      <c r="D55" s="23">
        <f>IF($B55="","",SUMIFS(Features!$J:$J,Features!$A:$A,$B55,Features!$F:$F,"OK"))</f>
        <v/>
      </c>
      <c r="E55" s="23">
        <f>IF($B55="","",SUMIFS(Features!$K:$K,Features!$A:$A,$B55,Features!$F:$F,"OK"))</f>
        <v/>
      </c>
      <c r="F55" s="23">
        <f>IF($B55="","",SUMIFS(Features!$L:$L,Features!$A:$A,$B55,Features!$F:$F,"OK"))</f>
        <v/>
      </c>
      <c r="G55" s="23">
        <f>IF($B55="","",E55+FactorColchon*(F55-E55))</f>
        <v/>
      </c>
      <c r="H55" s="23">
        <f>IF($B55="","",G55*HorasDia)</f>
        <v/>
      </c>
      <c r="I55" s="24">
        <f>IF($B55="","",H55*TarifaHora)</f>
        <v/>
      </c>
      <c r="J55" s="24">
        <f>IF($B55="","",SUMIFS(Features!$P:$P,Features!$A:$A,$B55,Features!$F:$F,"OK"))</f>
        <v/>
      </c>
      <c r="K55" s="24">
        <f>IF($B55="","",SUMIFS(Features!$Q:$Q,Features!$A:$A,$B55,Features!$F:$F,"OK"))</f>
        <v/>
      </c>
      <c r="L55" s="24">
        <f>IF($B55="","",I55+J55)</f>
        <v/>
      </c>
      <c r="M55" s="24">
        <f>IF($B55="","",I55+K55)</f>
        <v/>
      </c>
      <c r="N55" s="24">
        <f>IF($B55="","",M55*(1+Margen))</f>
        <v/>
      </c>
    </row>
    <row r="56">
      <c r="A56" s="4" t="n">
        <v>50</v>
      </c>
      <c r="B56" s="4">
        <f>IFERROR(INDEX(Features!$A:$A,MATCH($A56,Features!$T:$T,0)),"")</f>
        <v/>
      </c>
      <c r="C56" s="22">
        <f>IF($B56="","",COUNTIFS(Features!$A:$A,$B56,Features!$F:$F,"OK"))</f>
        <v/>
      </c>
      <c r="D56" s="23">
        <f>IF($B56="","",SUMIFS(Features!$J:$J,Features!$A:$A,$B56,Features!$F:$F,"OK"))</f>
        <v/>
      </c>
      <c r="E56" s="23">
        <f>IF($B56="","",SUMIFS(Features!$K:$K,Features!$A:$A,$B56,Features!$F:$F,"OK"))</f>
        <v/>
      </c>
      <c r="F56" s="23">
        <f>IF($B56="","",SUMIFS(Features!$L:$L,Features!$A:$A,$B56,Features!$F:$F,"OK"))</f>
        <v/>
      </c>
      <c r="G56" s="23">
        <f>IF($B56="","",E56+FactorColchon*(F56-E56))</f>
        <v/>
      </c>
      <c r="H56" s="23">
        <f>IF($B56="","",G56*HorasDia)</f>
        <v/>
      </c>
      <c r="I56" s="24">
        <f>IF($B56="","",H56*TarifaHora)</f>
        <v/>
      </c>
      <c r="J56" s="24">
        <f>IF($B56="","",SUMIFS(Features!$P:$P,Features!$A:$A,$B56,Features!$F:$F,"OK"))</f>
        <v/>
      </c>
      <c r="K56" s="24">
        <f>IF($B56="","",SUMIFS(Features!$Q:$Q,Features!$A:$A,$B56,Features!$F:$F,"OK"))</f>
        <v/>
      </c>
      <c r="L56" s="24">
        <f>IF($B56="","",I56+J56)</f>
        <v/>
      </c>
      <c r="M56" s="24">
        <f>IF($B56="","",I56+K56)</f>
        <v/>
      </c>
      <c r="N56" s="24">
        <f>IF($B56="","",M56*(1+Margen))</f>
        <v/>
      </c>
    </row>
    <row r="57">
      <c r="A57" s="25" t="n"/>
      <c r="B57" s="25" t="inlineStr">
        <is>
          <t>TOTAL PROYECTO</t>
        </is>
      </c>
      <c r="C57" s="26">
        <f>SUM(C7:C56)</f>
        <v/>
      </c>
      <c r="D57" s="27">
        <f>SUM(D7:D56)</f>
        <v/>
      </c>
      <c r="E57" s="27">
        <f>SUM(E7:E56)</f>
        <v/>
      </c>
      <c r="F57" s="27">
        <f>SUM(F7:F56)</f>
        <v/>
      </c>
      <c r="G57" s="27">
        <f>SUM(G7:G56)</f>
        <v/>
      </c>
      <c r="H57" s="27">
        <f>SUM(H7:H56)</f>
        <v/>
      </c>
      <c r="I57" s="28">
        <f>SUM(I7:I56)</f>
        <v/>
      </c>
      <c r="J57" s="28">
        <f>SUM(J7:J56)</f>
        <v/>
      </c>
      <c r="K57" s="28">
        <f>SUM(K7:K56)</f>
        <v/>
      </c>
      <c r="L57" s="28">
        <f>SUM(L7:L56)</f>
        <v/>
      </c>
      <c r="M57" s="28">
        <f>SUM(M7:M56)</f>
        <v/>
      </c>
      <c r="N57" s="28">
        <f>SUM(N7:N56)</f>
        <v/>
      </c>
    </row>
    <row r="59">
      <c r="A59" s="8" t="inlineStr">
        <is>
          <t>Días comprometidos y costo de tiempo = compromiso de entrega (precio fijo por hito). El costo de IA se mantiene como rango.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</cols>
  <sheetData>
    <row r="1">
      <c r="A1" s="1" t="inlineStr">
        <is>
          <t>Propuesta económica</t>
        </is>
      </c>
    </row>
    <row r="2">
      <c r="A2" s="20" t="inlineStr">
        <is>
          <t>Proyecto</t>
        </is>
      </c>
      <c r="B2">
        <f>IF(Cotización!B2="","",Cotización!B2)</f>
        <v/>
      </c>
    </row>
    <row r="3">
      <c r="A3" s="20" t="inlineStr">
        <is>
          <t>Cliente</t>
        </is>
      </c>
      <c r="B3">
        <f>IF(Cotización!B3="","",Cotización!B3)</f>
        <v/>
      </c>
    </row>
    <row r="4">
      <c r="A4" s="20" t="inlineStr">
        <is>
          <t>Fecha</t>
        </is>
      </c>
      <c r="B4">
        <f>IF(Cotización!B4="","",Cotización!B4)</f>
        <v/>
      </c>
    </row>
    <row r="6" ht="32" customHeight="1">
      <c r="A6" s="3" t="inlineStr">
        <is>
          <t>Hito</t>
        </is>
      </c>
      <c r="B6" s="3" t="inlineStr">
        <is>
          <t>Días de entrega comprometidos</t>
        </is>
      </c>
      <c r="C6" s="3">
        <f>"Precio ("&amp;MonedaCliente&amp;")"</f>
        <v/>
      </c>
    </row>
    <row r="7">
      <c r="A7" s="4">
        <f>Cotización!B7</f>
        <v/>
      </c>
      <c r="B7" s="29">
        <f>IF(Cotización!B7="","",Cotización!G7)</f>
        <v/>
      </c>
      <c r="C7" s="30">
        <f>IF(Cotización!B7="","",IF(MonedaCliente="PEN",Cotización!N7*TipoCambio,Cotización!N7))</f>
        <v/>
      </c>
    </row>
    <row r="8">
      <c r="A8" s="4">
        <f>Cotización!B8</f>
        <v/>
      </c>
      <c r="B8" s="29">
        <f>IF(Cotización!B8="","",Cotización!G8)</f>
        <v/>
      </c>
      <c r="C8" s="30">
        <f>IF(Cotización!B8="","",IF(MonedaCliente="PEN",Cotización!N8*TipoCambio,Cotización!N8))</f>
        <v/>
      </c>
    </row>
    <row r="9">
      <c r="A9" s="4">
        <f>Cotización!B9</f>
        <v/>
      </c>
      <c r="B9" s="29">
        <f>IF(Cotización!B9="","",Cotización!G9)</f>
        <v/>
      </c>
      <c r="C9" s="30">
        <f>IF(Cotización!B9="","",IF(MonedaCliente="PEN",Cotización!N9*TipoCambio,Cotización!N9))</f>
        <v/>
      </c>
    </row>
    <row r="10">
      <c r="A10" s="4">
        <f>Cotización!B10</f>
        <v/>
      </c>
      <c r="B10" s="29">
        <f>IF(Cotización!B10="","",Cotización!G10)</f>
        <v/>
      </c>
      <c r="C10" s="30">
        <f>IF(Cotización!B10="","",IF(MonedaCliente="PEN",Cotización!N10*TipoCambio,Cotización!N10))</f>
        <v/>
      </c>
    </row>
    <row r="11">
      <c r="A11" s="4">
        <f>Cotización!B11</f>
        <v/>
      </c>
      <c r="B11" s="29">
        <f>IF(Cotización!B11="","",Cotización!G11)</f>
        <v/>
      </c>
      <c r="C11" s="30">
        <f>IF(Cotización!B11="","",IF(MonedaCliente="PEN",Cotización!N11*TipoCambio,Cotización!N11))</f>
        <v/>
      </c>
    </row>
    <row r="12">
      <c r="A12" s="4">
        <f>Cotización!B12</f>
        <v/>
      </c>
      <c r="B12" s="29">
        <f>IF(Cotización!B12="","",Cotización!G12)</f>
        <v/>
      </c>
      <c r="C12" s="30">
        <f>IF(Cotización!B12="","",IF(MonedaCliente="PEN",Cotización!N12*TipoCambio,Cotización!N12))</f>
        <v/>
      </c>
    </row>
    <row r="13">
      <c r="A13" s="4">
        <f>Cotización!B13</f>
        <v/>
      </c>
      <c r="B13" s="29">
        <f>IF(Cotización!B13="","",Cotización!G13)</f>
        <v/>
      </c>
      <c r="C13" s="30">
        <f>IF(Cotización!B13="","",IF(MonedaCliente="PEN",Cotización!N13*TipoCambio,Cotización!N13))</f>
        <v/>
      </c>
    </row>
    <row r="14">
      <c r="A14" s="4">
        <f>Cotización!B14</f>
        <v/>
      </c>
      <c r="B14" s="29">
        <f>IF(Cotización!B14="","",Cotización!G14)</f>
        <v/>
      </c>
      <c r="C14" s="30">
        <f>IF(Cotización!B14="","",IF(MonedaCliente="PEN",Cotización!N14*TipoCambio,Cotización!N14))</f>
        <v/>
      </c>
    </row>
    <row r="15">
      <c r="A15" s="4">
        <f>Cotización!B15</f>
        <v/>
      </c>
      <c r="B15" s="29">
        <f>IF(Cotización!B15="","",Cotización!G15)</f>
        <v/>
      </c>
      <c r="C15" s="30">
        <f>IF(Cotización!B15="","",IF(MonedaCliente="PEN",Cotización!N15*TipoCambio,Cotización!N15))</f>
        <v/>
      </c>
    </row>
    <row r="16">
      <c r="A16" s="4">
        <f>Cotización!B16</f>
        <v/>
      </c>
      <c r="B16" s="29">
        <f>IF(Cotización!B16="","",Cotización!G16)</f>
        <v/>
      </c>
      <c r="C16" s="30">
        <f>IF(Cotización!B16="","",IF(MonedaCliente="PEN",Cotización!N16*TipoCambio,Cotización!N16))</f>
        <v/>
      </c>
    </row>
    <row r="17">
      <c r="A17" s="4">
        <f>Cotización!B17</f>
        <v/>
      </c>
      <c r="B17" s="29">
        <f>IF(Cotización!B17="","",Cotización!G17)</f>
        <v/>
      </c>
      <c r="C17" s="30">
        <f>IF(Cotización!B17="","",IF(MonedaCliente="PEN",Cotización!N17*TipoCambio,Cotización!N17))</f>
        <v/>
      </c>
    </row>
    <row r="18">
      <c r="A18" s="4">
        <f>Cotización!B18</f>
        <v/>
      </c>
      <c r="B18" s="29">
        <f>IF(Cotización!B18="","",Cotización!G18)</f>
        <v/>
      </c>
      <c r="C18" s="30">
        <f>IF(Cotización!B18="","",IF(MonedaCliente="PEN",Cotización!N18*TipoCambio,Cotización!N18))</f>
        <v/>
      </c>
    </row>
    <row r="19">
      <c r="A19" s="4">
        <f>Cotización!B19</f>
        <v/>
      </c>
      <c r="B19" s="29">
        <f>IF(Cotización!B19="","",Cotización!G19)</f>
        <v/>
      </c>
      <c r="C19" s="30">
        <f>IF(Cotización!B19="","",IF(MonedaCliente="PEN",Cotización!N19*TipoCambio,Cotización!N19))</f>
        <v/>
      </c>
    </row>
    <row r="20">
      <c r="A20" s="4">
        <f>Cotización!B20</f>
        <v/>
      </c>
      <c r="B20" s="29">
        <f>IF(Cotización!B20="","",Cotización!G20)</f>
        <v/>
      </c>
      <c r="C20" s="30">
        <f>IF(Cotización!B20="","",IF(MonedaCliente="PEN",Cotización!N20*TipoCambio,Cotización!N20))</f>
        <v/>
      </c>
    </row>
    <row r="21">
      <c r="A21" s="4">
        <f>Cotización!B21</f>
        <v/>
      </c>
      <c r="B21" s="29">
        <f>IF(Cotización!B21="","",Cotización!G21)</f>
        <v/>
      </c>
      <c r="C21" s="30">
        <f>IF(Cotización!B21="","",IF(MonedaCliente="PEN",Cotización!N21*TipoCambio,Cotización!N21))</f>
        <v/>
      </c>
    </row>
    <row r="22">
      <c r="A22" s="4">
        <f>Cotización!B22</f>
        <v/>
      </c>
      <c r="B22" s="29">
        <f>IF(Cotización!B22="","",Cotización!G22)</f>
        <v/>
      </c>
      <c r="C22" s="30">
        <f>IF(Cotización!B22="","",IF(MonedaCliente="PEN",Cotización!N22*TipoCambio,Cotización!N22))</f>
        <v/>
      </c>
    </row>
    <row r="23">
      <c r="A23" s="4">
        <f>Cotización!B23</f>
        <v/>
      </c>
      <c r="B23" s="29">
        <f>IF(Cotización!B23="","",Cotización!G23)</f>
        <v/>
      </c>
      <c r="C23" s="30">
        <f>IF(Cotización!B23="","",IF(MonedaCliente="PEN",Cotización!N23*TipoCambio,Cotización!N23))</f>
        <v/>
      </c>
    </row>
    <row r="24">
      <c r="A24" s="4">
        <f>Cotización!B24</f>
        <v/>
      </c>
      <c r="B24" s="29">
        <f>IF(Cotización!B24="","",Cotización!G24)</f>
        <v/>
      </c>
      <c r="C24" s="30">
        <f>IF(Cotización!B24="","",IF(MonedaCliente="PEN",Cotización!N24*TipoCambio,Cotización!N24))</f>
        <v/>
      </c>
    </row>
    <row r="25">
      <c r="A25" s="4">
        <f>Cotización!B25</f>
        <v/>
      </c>
      <c r="B25" s="29">
        <f>IF(Cotización!B25="","",Cotización!G25)</f>
        <v/>
      </c>
      <c r="C25" s="30">
        <f>IF(Cotización!B25="","",IF(MonedaCliente="PEN",Cotización!N25*TipoCambio,Cotización!N25))</f>
        <v/>
      </c>
    </row>
    <row r="26">
      <c r="A26" s="4">
        <f>Cotización!B26</f>
        <v/>
      </c>
      <c r="B26" s="29">
        <f>IF(Cotización!B26="","",Cotización!G26)</f>
        <v/>
      </c>
      <c r="C26" s="30">
        <f>IF(Cotización!B26="","",IF(MonedaCliente="PEN",Cotización!N26*TipoCambio,Cotización!N26))</f>
        <v/>
      </c>
    </row>
    <row r="27">
      <c r="A27" s="4">
        <f>Cotización!B27</f>
        <v/>
      </c>
      <c r="B27" s="29">
        <f>IF(Cotización!B27="","",Cotización!G27)</f>
        <v/>
      </c>
      <c r="C27" s="30">
        <f>IF(Cotización!B27="","",IF(MonedaCliente="PEN",Cotización!N27*TipoCambio,Cotización!N27))</f>
        <v/>
      </c>
    </row>
    <row r="28">
      <c r="A28" s="4">
        <f>Cotización!B28</f>
        <v/>
      </c>
      <c r="B28" s="29">
        <f>IF(Cotización!B28="","",Cotización!G28)</f>
        <v/>
      </c>
      <c r="C28" s="30">
        <f>IF(Cotización!B28="","",IF(MonedaCliente="PEN",Cotización!N28*TipoCambio,Cotización!N28))</f>
        <v/>
      </c>
    </row>
    <row r="29">
      <c r="A29" s="4">
        <f>Cotización!B29</f>
        <v/>
      </c>
      <c r="B29" s="29">
        <f>IF(Cotización!B29="","",Cotización!G29)</f>
        <v/>
      </c>
      <c r="C29" s="30">
        <f>IF(Cotización!B29="","",IF(MonedaCliente="PEN",Cotización!N29*TipoCambio,Cotización!N29))</f>
        <v/>
      </c>
    </row>
    <row r="30">
      <c r="A30" s="4">
        <f>Cotización!B30</f>
        <v/>
      </c>
      <c r="B30" s="29">
        <f>IF(Cotización!B30="","",Cotización!G30)</f>
        <v/>
      </c>
      <c r="C30" s="30">
        <f>IF(Cotización!B30="","",IF(MonedaCliente="PEN",Cotización!N30*TipoCambio,Cotización!N30))</f>
        <v/>
      </c>
    </row>
    <row r="31">
      <c r="A31" s="4">
        <f>Cotización!B31</f>
        <v/>
      </c>
      <c r="B31" s="29">
        <f>IF(Cotización!B31="","",Cotización!G31)</f>
        <v/>
      </c>
      <c r="C31" s="30">
        <f>IF(Cotización!B31="","",IF(MonedaCliente="PEN",Cotización!N31*TipoCambio,Cotización!N31))</f>
        <v/>
      </c>
    </row>
    <row r="32">
      <c r="A32" s="4">
        <f>Cotización!B32</f>
        <v/>
      </c>
      <c r="B32" s="29">
        <f>IF(Cotización!B32="","",Cotización!G32)</f>
        <v/>
      </c>
      <c r="C32" s="30">
        <f>IF(Cotización!B32="","",IF(MonedaCliente="PEN",Cotización!N32*TipoCambio,Cotización!N32))</f>
        <v/>
      </c>
    </row>
    <row r="33">
      <c r="A33" s="4">
        <f>Cotización!B33</f>
        <v/>
      </c>
      <c r="B33" s="29">
        <f>IF(Cotización!B33="","",Cotización!G33)</f>
        <v/>
      </c>
      <c r="C33" s="30">
        <f>IF(Cotización!B33="","",IF(MonedaCliente="PEN",Cotización!N33*TipoCambio,Cotización!N33))</f>
        <v/>
      </c>
    </row>
    <row r="34">
      <c r="A34" s="4">
        <f>Cotización!B34</f>
        <v/>
      </c>
      <c r="B34" s="29">
        <f>IF(Cotización!B34="","",Cotización!G34)</f>
        <v/>
      </c>
      <c r="C34" s="30">
        <f>IF(Cotización!B34="","",IF(MonedaCliente="PEN",Cotización!N34*TipoCambio,Cotización!N34))</f>
        <v/>
      </c>
    </row>
    <row r="35">
      <c r="A35" s="4">
        <f>Cotización!B35</f>
        <v/>
      </c>
      <c r="B35" s="29">
        <f>IF(Cotización!B35="","",Cotización!G35)</f>
        <v/>
      </c>
      <c r="C35" s="30">
        <f>IF(Cotización!B35="","",IF(MonedaCliente="PEN",Cotización!N35*TipoCambio,Cotización!N35))</f>
        <v/>
      </c>
    </row>
    <row r="36">
      <c r="A36" s="4">
        <f>Cotización!B36</f>
        <v/>
      </c>
      <c r="B36" s="29">
        <f>IF(Cotización!B36="","",Cotización!G36)</f>
        <v/>
      </c>
      <c r="C36" s="30">
        <f>IF(Cotización!B36="","",IF(MonedaCliente="PEN",Cotización!N36*TipoCambio,Cotización!N36))</f>
        <v/>
      </c>
    </row>
    <row r="37">
      <c r="A37" s="4">
        <f>Cotización!B37</f>
        <v/>
      </c>
      <c r="B37" s="29">
        <f>IF(Cotización!B37="","",Cotización!G37)</f>
        <v/>
      </c>
      <c r="C37" s="30">
        <f>IF(Cotización!B37="","",IF(MonedaCliente="PEN",Cotización!N37*TipoCambio,Cotización!N37))</f>
        <v/>
      </c>
    </row>
    <row r="38">
      <c r="A38" s="4">
        <f>Cotización!B38</f>
        <v/>
      </c>
      <c r="B38" s="29">
        <f>IF(Cotización!B38="","",Cotización!G38)</f>
        <v/>
      </c>
      <c r="C38" s="30">
        <f>IF(Cotización!B38="","",IF(MonedaCliente="PEN",Cotización!N38*TipoCambio,Cotización!N38))</f>
        <v/>
      </c>
    </row>
    <row r="39">
      <c r="A39" s="4">
        <f>Cotización!B39</f>
        <v/>
      </c>
      <c r="B39" s="29">
        <f>IF(Cotización!B39="","",Cotización!G39)</f>
        <v/>
      </c>
      <c r="C39" s="30">
        <f>IF(Cotización!B39="","",IF(MonedaCliente="PEN",Cotización!N39*TipoCambio,Cotización!N39))</f>
        <v/>
      </c>
    </row>
    <row r="40">
      <c r="A40" s="4">
        <f>Cotización!B40</f>
        <v/>
      </c>
      <c r="B40" s="29">
        <f>IF(Cotización!B40="","",Cotización!G40)</f>
        <v/>
      </c>
      <c r="C40" s="30">
        <f>IF(Cotización!B40="","",IF(MonedaCliente="PEN",Cotización!N40*TipoCambio,Cotización!N40))</f>
        <v/>
      </c>
    </row>
    <row r="41">
      <c r="A41" s="4">
        <f>Cotización!B41</f>
        <v/>
      </c>
      <c r="B41" s="29">
        <f>IF(Cotización!B41="","",Cotización!G41)</f>
        <v/>
      </c>
      <c r="C41" s="30">
        <f>IF(Cotización!B41="","",IF(MonedaCliente="PEN",Cotización!N41*TipoCambio,Cotización!N41))</f>
        <v/>
      </c>
    </row>
    <row r="42">
      <c r="A42" s="4">
        <f>Cotización!B42</f>
        <v/>
      </c>
      <c r="B42" s="29">
        <f>IF(Cotización!B42="","",Cotización!G42)</f>
        <v/>
      </c>
      <c r="C42" s="30">
        <f>IF(Cotización!B42="","",IF(MonedaCliente="PEN",Cotización!N42*TipoCambio,Cotización!N42))</f>
        <v/>
      </c>
    </row>
    <row r="43">
      <c r="A43" s="4">
        <f>Cotización!B43</f>
        <v/>
      </c>
      <c r="B43" s="29">
        <f>IF(Cotización!B43="","",Cotización!G43)</f>
        <v/>
      </c>
      <c r="C43" s="30">
        <f>IF(Cotización!B43="","",IF(MonedaCliente="PEN",Cotización!N43*TipoCambio,Cotización!N43))</f>
        <v/>
      </c>
    </row>
    <row r="44">
      <c r="A44" s="4">
        <f>Cotización!B44</f>
        <v/>
      </c>
      <c r="B44" s="29">
        <f>IF(Cotización!B44="","",Cotización!G44)</f>
        <v/>
      </c>
      <c r="C44" s="30">
        <f>IF(Cotización!B44="","",IF(MonedaCliente="PEN",Cotización!N44*TipoCambio,Cotización!N44))</f>
        <v/>
      </c>
    </row>
    <row r="45">
      <c r="A45" s="4">
        <f>Cotización!B45</f>
        <v/>
      </c>
      <c r="B45" s="29">
        <f>IF(Cotización!B45="","",Cotización!G45)</f>
        <v/>
      </c>
      <c r="C45" s="30">
        <f>IF(Cotización!B45="","",IF(MonedaCliente="PEN",Cotización!N45*TipoCambio,Cotización!N45))</f>
        <v/>
      </c>
    </row>
    <row r="46">
      <c r="A46" s="4">
        <f>Cotización!B46</f>
        <v/>
      </c>
      <c r="B46" s="29">
        <f>IF(Cotización!B46="","",Cotización!G46)</f>
        <v/>
      </c>
      <c r="C46" s="30">
        <f>IF(Cotización!B46="","",IF(MonedaCliente="PEN",Cotización!N46*TipoCambio,Cotización!N46))</f>
        <v/>
      </c>
    </row>
    <row r="47">
      <c r="A47" s="4">
        <f>Cotización!B47</f>
        <v/>
      </c>
      <c r="B47" s="29">
        <f>IF(Cotización!B47="","",Cotización!G47)</f>
        <v/>
      </c>
      <c r="C47" s="30">
        <f>IF(Cotización!B47="","",IF(MonedaCliente="PEN",Cotización!N47*TipoCambio,Cotización!N47))</f>
        <v/>
      </c>
    </row>
    <row r="48">
      <c r="A48" s="4">
        <f>Cotización!B48</f>
        <v/>
      </c>
      <c r="B48" s="29">
        <f>IF(Cotización!B48="","",Cotización!G48)</f>
        <v/>
      </c>
      <c r="C48" s="30">
        <f>IF(Cotización!B48="","",IF(MonedaCliente="PEN",Cotización!N48*TipoCambio,Cotización!N48))</f>
        <v/>
      </c>
    </row>
    <row r="49">
      <c r="A49" s="4">
        <f>Cotización!B49</f>
        <v/>
      </c>
      <c r="B49" s="29">
        <f>IF(Cotización!B49="","",Cotización!G49)</f>
        <v/>
      </c>
      <c r="C49" s="30">
        <f>IF(Cotización!B49="","",IF(MonedaCliente="PEN",Cotización!N49*TipoCambio,Cotización!N49))</f>
        <v/>
      </c>
    </row>
    <row r="50">
      <c r="A50" s="4">
        <f>Cotización!B50</f>
        <v/>
      </c>
      <c r="B50" s="29">
        <f>IF(Cotización!B50="","",Cotización!G50)</f>
        <v/>
      </c>
      <c r="C50" s="30">
        <f>IF(Cotización!B50="","",IF(MonedaCliente="PEN",Cotización!N50*TipoCambio,Cotización!N50))</f>
        <v/>
      </c>
    </row>
    <row r="51">
      <c r="A51" s="4">
        <f>Cotización!B51</f>
        <v/>
      </c>
      <c r="B51" s="29">
        <f>IF(Cotización!B51="","",Cotización!G51)</f>
        <v/>
      </c>
      <c r="C51" s="30">
        <f>IF(Cotización!B51="","",IF(MonedaCliente="PEN",Cotización!N51*TipoCambio,Cotización!N51))</f>
        <v/>
      </c>
    </row>
    <row r="52">
      <c r="A52" s="4">
        <f>Cotización!B52</f>
        <v/>
      </c>
      <c r="B52" s="29">
        <f>IF(Cotización!B52="","",Cotización!G52)</f>
        <v/>
      </c>
      <c r="C52" s="30">
        <f>IF(Cotización!B52="","",IF(MonedaCliente="PEN",Cotización!N52*TipoCambio,Cotización!N52))</f>
        <v/>
      </c>
    </row>
    <row r="53">
      <c r="A53" s="4">
        <f>Cotización!B53</f>
        <v/>
      </c>
      <c r="B53" s="29">
        <f>IF(Cotización!B53="","",Cotización!G53)</f>
        <v/>
      </c>
      <c r="C53" s="30">
        <f>IF(Cotización!B53="","",IF(MonedaCliente="PEN",Cotización!N53*TipoCambio,Cotización!N53))</f>
        <v/>
      </c>
    </row>
    <row r="54">
      <c r="A54" s="4">
        <f>Cotización!B54</f>
        <v/>
      </c>
      <c r="B54" s="29">
        <f>IF(Cotización!B54="","",Cotización!G54)</f>
        <v/>
      </c>
      <c r="C54" s="30">
        <f>IF(Cotización!B54="","",IF(MonedaCliente="PEN",Cotización!N54*TipoCambio,Cotización!N54))</f>
        <v/>
      </c>
    </row>
    <row r="55">
      <c r="A55" s="4">
        <f>Cotización!B55</f>
        <v/>
      </c>
      <c r="B55" s="29">
        <f>IF(Cotización!B55="","",Cotización!G55)</f>
        <v/>
      </c>
      <c r="C55" s="30">
        <f>IF(Cotización!B55="","",IF(MonedaCliente="PEN",Cotización!N55*TipoCambio,Cotización!N55))</f>
        <v/>
      </c>
    </row>
    <row r="56">
      <c r="A56" s="4">
        <f>Cotización!B56</f>
        <v/>
      </c>
      <c r="B56" s="29">
        <f>IF(Cotización!B56="","",Cotización!G56)</f>
        <v/>
      </c>
      <c r="C56" s="30">
        <f>IF(Cotización!B56="","",IF(MonedaCliente="PEN",Cotización!N56*TipoCambio,Cotización!N56))</f>
        <v/>
      </c>
    </row>
    <row r="57">
      <c r="A57" s="25" t="inlineStr">
        <is>
          <t>TOTAL</t>
        </is>
      </c>
      <c r="B57" s="31">
        <f>SUM(B7:B56)</f>
        <v/>
      </c>
      <c r="C57" s="32">
        <f>SUM(C7:C56)</f>
        <v/>
      </c>
    </row>
    <row r="59">
      <c r="A59" s="8">
        <f>"Precio fijo por hito, en "&amp;MonedaCliente&amp;". Días hábiles de trabajo efectivo."&amp;IF(MonedaCliente="PEN"," Tipo de cambio referencial: S/ "&amp;TEXT(TipoCambio,"0.000")&amp;" por USD.","")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0" t="inlineStr">
        <is>
          <t>Copia la celda A3 completa y pégala en el LLM (reemplaza la última línea por el alcance).</t>
        </is>
      </c>
    </row>
    <row r="3" ht="520" customHeight="1">
      <c r="A3" s="33" t="inlineStr">
        <is>
          <t>Actúa como estimador de proyectos de software. Divide el alcance de abajo en hitos y cada hito en features.
Reglas:
- Feature = unidad de trabajo con alcance propio, describible en una frase y usable/probable de punta a punta. Si necesitas "y" para unir dos cosas que no dependen entre sí, son dos features.
- La configuración inicial (scaffold, autenticación, hosting/despliegue, persistencia) va en un hito propio llamado "Hito 0 - Configuración inicial".
- Categoría: usa EXACTAMENTE uno de estos valores:
  Simple: repite un patrón ya resuelto antes en el mismo proyecto, sin reglas de negocio nuevas.
  Moderado: entidad o flujo nuevo con reglas de negocio propias, sobre arquitectura/patrones ya definidos.
  Complejo: motor reutilizable por otras partes del sistema, integración externa ya conocida con reglas nuevas, o decisión de arquitectura no trivial.
  Complejo primera vez: como Complejo pero sin ningún patrón previo en el proyecto (primera integración externa, primer pipeline de despliegue, primer sistema de autenticación, etc.).
- Ajustes: si depende de una tecnología/integración usada por primera vez en el proyecto, sube al menos una categoría. Si solo reutiliza un motor construido en una feature anterior, baja al menos una categoría.
- Confirmado: "No" si el alcance de la feature aún no está confirmado con el dueño del producto; si no, "Sí".
Formato de salida (estricto):
- SOLO un bloque de código con valores separados por TABULACIONES. Sin encabezado, sin explicaciones, sin numeración.
- 4 columnas en este orden: Hito&lt;TAB&gt;Feature&lt;TAB&gt;Categoría&lt;TAB&gt;Confirmado
- Una feature por línea. Repite el nombre exacto del hito en cada línea.
Alcance del proyecto:
&lt;pega aquí el alcance&gt;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2026-09-28T23:17:31Z</dcterms:created>
  <dcterms:modified xsi:type="dcterms:W3CDTF">2026-09-28T23:17:32Z</dcterms:modified>
</cp:coreProperties>
</file>